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Readiness" sheetId="2" state="visible" r:id="rId2"/>
    <sheet name="Daily Potty Log" sheetId="3" state="visible" r:id="rId3"/>
    <sheet name="Reward Chart" sheetId="4" state="visible" r:id="rId4"/>
    <sheet name="Nighttime Training" sheetId="5" state="visible" r:id="rId5"/>
    <sheet name="Regression Log" sheetId="6" state="visible" r:id="rId6"/>
    <sheet name="Accident Patterns" sheetId="7" state="visible" r:id="rId7"/>
    <sheet name="Milestones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FF4A4A4A"/>
      <sz val="20"/>
    </font>
    <font>
      <i val="1"/>
      <color rgb="FF4A4A4A"/>
      <sz val="12"/>
    </font>
    <font>
      <b val="1"/>
      <color rgb="FF4A4A4A"/>
      <sz val="13"/>
    </font>
    <font>
      <i val="1"/>
      <color rgb="FF4A4A4A"/>
      <sz val="10"/>
    </font>
    <font>
      <b val="1"/>
      <color rgb="FF4A4A4A"/>
      <sz val="11"/>
    </font>
    <font>
      <b val="1"/>
      <color rgb="FF4A4A4A"/>
      <sz val="12"/>
    </font>
    <font>
      <b val="1"/>
      <color rgb="FFF4AFC9"/>
      <sz val="18"/>
    </font>
  </fonts>
  <fills count="9">
    <fill>
      <patternFill/>
    </fill>
    <fill>
      <patternFill patternType="gray125"/>
    </fill>
    <fill>
      <patternFill patternType="solid">
        <fgColor rgb="FFE6DFF7"/>
        <bgColor rgb="FFE6DFF7"/>
      </patternFill>
    </fill>
    <fill>
      <patternFill patternType="solid">
        <fgColor rgb="FFFBD8E5"/>
        <bgColor rgb="FFFBD8E5"/>
      </patternFill>
    </fill>
    <fill>
      <patternFill patternType="solid">
        <fgColor rgb="FFF4F4F4"/>
        <bgColor rgb="FFF4F4F4"/>
      </patternFill>
    </fill>
    <fill>
      <patternFill patternType="solid">
        <fgColor rgb="FFD6E8F7"/>
        <bgColor rgb="FFD6E8F7"/>
      </patternFill>
    </fill>
    <fill>
      <patternFill patternType="solid">
        <fgColor rgb="FFD9F2E6"/>
        <bgColor rgb="FFD9F2E6"/>
      </patternFill>
    </fill>
    <fill>
      <patternFill patternType="solid">
        <fgColor rgb="FFFFF3CE"/>
        <bgColor rgb="FFFFF3CE"/>
      </patternFill>
    </fill>
    <fill>
      <patternFill patternType="solid">
        <fgColor rgb="FFFDE3D3"/>
        <bgColor rgb="FFFDE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/>
    </xf>
    <xf numFmtId="0" fontId="5" fillId="0" borderId="0" pivotButton="0" quotePrefix="0" xfId="0"/>
    <xf numFmtId="164" fontId="0" fillId="7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/>
    </xf>
    <xf numFmtId="0" fontId="6" fillId="8" borderId="0" pivotButton="0" quotePrefix="0" xfId="0"/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/>
    </xf>
    <xf numFmtId="0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Accidents by Time of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'Accident Patterns'!$A$37:$A$40</f>
            </numRef>
          </cat>
          <val>
            <numRef>
              <f>'Accident Patterns'!$B$37:$B$40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Successes vs. Accidents by Day</a:t>
            </a:r>
          </a:p>
        </rich>
      </tx>
    </title>
    <plotArea>
      <lineChart>
        <grouping val="standard"/>
        <ser>
          <idx val="0"/>
          <order val="0"/>
          <tx>
            <v>Successes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Potty Log'!$A$5:$A$34</f>
            </numRef>
          </cat>
          <val>
            <numRef>
              <f>'Daily Potty Log'!$C$5:$C$34</f>
            </numRef>
          </val>
        </ser>
        <ser>
          <idx val="1"/>
          <order val="1"/>
          <tx>
            <v>Accidents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Potty Log'!$A$5:$A$34</f>
            </numRef>
          </cat>
          <val>
            <numRef>
              <f>'Daily Potty Log'!$D$5:$D$34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Accidents by Time of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'Accident Patterns'!$A$37:$A$40</f>
            </numRef>
          </cat>
          <val>
            <numRef>
              <f>'Accident Patterns'!$B$37:$B$40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C9B8ED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20" customWidth="1" min="3" max="3"/>
  </cols>
  <sheetData>
    <row r="1" ht="32" customHeight="1">
      <c r="A1" s="1" t="inlineStr">
        <is>
          <t>🚽 Toddler Potty Training Tracker</t>
        </is>
      </c>
    </row>
    <row r="2" ht="20" customHeight="1">
      <c r="A2" s="2" t="inlineStr">
        <is>
          <t>A calm, encouraging companion for ages 2–4</t>
        </is>
      </c>
    </row>
    <row r="3">
      <c r="A3" s="3" t="inlineStr">
        <is>
          <t>How to use each tab</t>
        </is>
      </c>
      <c r="B3" t="inlineStr"/>
    </row>
    <row r="4">
      <c r="A4" t="inlineStr">
        <is>
          <t>Readiness Checklist</t>
        </is>
      </c>
      <c r="B4" t="inlineStr">
        <is>
          <t>The physical, behavioral and skill signs worth watching for before you start.</t>
        </is>
      </c>
    </row>
    <row r="5">
      <c r="A5" t="inlineStr">
        <is>
          <t>Daily Potty Log</t>
        </is>
      </c>
      <c r="B5" t="inlineStr">
        <is>
          <t>One row per day — successes, accidents, and how it went.</t>
        </is>
      </c>
    </row>
    <row r="6">
      <c r="A6" t="inlineStr">
        <is>
          <t>Reward Chart</t>
        </is>
      </c>
      <c r="B6" t="inlineStr">
        <is>
          <t>A sticker-style chart plus a reward menu to redeem stickers against.</t>
        </is>
      </c>
    </row>
    <row r="7">
      <c r="A7" t="inlineStr">
        <is>
          <t>Nighttime Training</t>
        </is>
      </c>
      <c r="B7" t="inlineStr">
        <is>
          <t>A separate, later-stage log — nighttime dryness usually comes months after daytime.</t>
        </is>
      </c>
    </row>
    <row r="8">
      <c r="A8" t="inlineStr">
        <is>
          <t>Regression Log</t>
        </is>
      </c>
      <c r="B8" t="inlineStr">
        <is>
          <t>For the setbacks that come with new siblings, moves, illness, or big changes.</t>
        </is>
      </c>
    </row>
    <row r="9">
      <c r="A9" t="inlineStr">
        <is>
          <t>Accident Patterns</t>
        </is>
      </c>
      <c r="B9" t="inlineStr">
        <is>
          <t>Log time and place — the chart below helps you spot patterns to plan around.</t>
        </is>
      </c>
    </row>
    <row r="10">
      <c r="A10" t="inlineStr">
        <is>
          <t>Milestones</t>
        </is>
      </c>
      <c r="B10" t="inlineStr">
        <is>
          <t>The bigger checkpoints, celebrated in whatever order they happen.</t>
        </is>
      </c>
    </row>
    <row r="11">
      <c r="A11" t="inlineStr">
        <is>
          <t>Dashboard</t>
        </is>
      </c>
      <c r="B11" t="inlineStr">
        <is>
          <t>A one-page snapshot of progress so far.</t>
        </is>
      </c>
    </row>
    <row r="12">
      <c r="A12" t="inlineStr"/>
      <c r="B12" t="inlineStr"/>
    </row>
    <row r="13">
      <c r="A13" s="3" t="inlineStr">
        <is>
          <t>Getting started</t>
        </is>
      </c>
      <c r="B13" t="inlineStr"/>
    </row>
    <row r="14">
      <c r="A14" t="inlineStr">
        <is>
          <t>1. Skim the Readiness Checklist — there is no rush, and no single "right" age to start.</t>
        </is>
      </c>
      <c r="B14" t="inlineStr"/>
    </row>
    <row r="15">
      <c r="A15" t="inlineStr">
        <is>
          <t>2. Go to the Daily Potty Log tab and enter your start date at the top.</t>
        </is>
      </c>
      <c r="B15" t="inlineStr"/>
    </row>
    <row r="16">
      <c r="A16" t="inlineStr">
        <is>
          <t>3. Log daily. Duplicate the sheet (right-click tab &gt; Duplicate) if you need more rows.</t>
        </is>
      </c>
      <c r="B16" t="inlineStr"/>
    </row>
    <row r="17">
      <c r="A17" t="inlineStr">
        <is>
          <t>4. Select each "Done"/"Achieved" column and use Insert &gt; Checkbox to make them clickable.</t>
        </is>
      </c>
      <c r="B17" t="inlineStr"/>
    </row>
    <row r="18">
      <c r="A18" t="inlineStr">
        <is>
          <t>5. Regressions are normal, not failure — the Regression Log tab is there for exactly that.</t>
        </is>
      </c>
      <c r="B18" t="inlineStr"/>
    </row>
    <row r="20" ht="34" customHeight="1">
      <c r="A20" s="4" t="inlineStr">
        <is>
          <t>💡 Every child is ready at a different age, and progress is rarely a straight line. This tracker is a place to keep notes, not a schedule to keep up with.</t>
        </is>
      </c>
    </row>
  </sheetData>
  <mergeCells count="3">
    <mergeCell ref="A1:C1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AFC9"/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8" customWidth="1" min="3" max="3"/>
  </cols>
  <sheetData>
    <row r="1" ht="32" customHeight="1">
      <c r="A1" s="5" t="inlineStr">
        <is>
          <t>✅ Readiness Checklist</t>
        </is>
      </c>
    </row>
    <row r="2" ht="20" customHeight="1">
      <c r="A2" s="6" t="inlineStr">
        <is>
          <t>Signs worth watching for — not a deadline</t>
        </is>
      </c>
    </row>
    <row r="3">
      <c r="A3" s="7" t="inlineStr">
        <is>
          <t>Item / Task</t>
        </is>
      </c>
      <c r="B3" s="7" t="inlineStr">
        <is>
          <t>Done</t>
        </is>
      </c>
      <c r="C3" s="7" t="inlineStr">
        <is>
          <t>Notes</t>
        </is>
      </c>
    </row>
    <row r="4">
      <c r="A4" s="8" t="inlineStr">
        <is>
          <t>Physical Signs</t>
        </is>
      </c>
    </row>
    <row r="5">
      <c r="A5" t="inlineStr">
        <is>
          <t>Stays dry for 2+ hours at a time</t>
        </is>
      </c>
      <c r="B5" t="b">
        <v>0</v>
      </c>
    </row>
    <row r="6">
      <c r="A6" t="inlineStr">
        <is>
          <t>Has regular, somewhat predictable bowel movements</t>
        </is>
      </c>
      <c r="B6" t="b">
        <v>0</v>
      </c>
    </row>
    <row r="7">
      <c r="A7" t="inlineStr">
        <is>
          <t>Can pull pants/underwear up and down</t>
        </is>
      </c>
      <c r="B7" t="b">
        <v>0</v>
      </c>
    </row>
    <row r="8">
      <c r="A8" t="inlineStr">
        <is>
          <t>Shows discomfort with a wet or dirty diaper</t>
        </is>
      </c>
      <c r="B8" t="b">
        <v>0</v>
      </c>
    </row>
    <row r="9">
      <c r="A9" t="inlineStr">
        <is>
          <t>Can walk to and sit on the potty independently</t>
        </is>
      </c>
      <c r="B9" t="b">
        <v>0</v>
      </c>
    </row>
    <row r="10">
      <c r="A10" s="9" t="inlineStr">
        <is>
          <t>Behavioral Signs</t>
        </is>
      </c>
    </row>
    <row r="11">
      <c r="A11" t="inlineStr">
        <is>
          <t>Shows interest in the bathroom or toilet</t>
        </is>
      </c>
      <c r="B11" t="b">
        <v>0</v>
      </c>
    </row>
    <row r="12">
      <c r="A12" t="inlineStr">
        <is>
          <t>Wants to wear "big kid" underwear</t>
        </is>
      </c>
      <c r="B12" t="b">
        <v>0</v>
      </c>
    </row>
    <row r="13">
      <c r="A13" t="inlineStr">
        <is>
          <t>Tells you before or during an accident</t>
        </is>
      </c>
      <c r="B13" t="b">
        <v>0</v>
      </c>
    </row>
    <row r="14">
      <c r="A14" t="inlineStr">
        <is>
          <t>Hides or goes still when pooping</t>
        </is>
      </c>
      <c r="B14" t="b">
        <v>0</v>
      </c>
    </row>
    <row r="15">
      <c r="A15" t="inlineStr">
        <is>
          <t>Can sit still for 2–5 minutes</t>
        </is>
      </c>
      <c r="B15" t="b">
        <v>0</v>
      </c>
    </row>
    <row r="16">
      <c r="A16" t="inlineStr">
        <is>
          <t>Wants more independence generally</t>
        </is>
      </c>
      <c r="B16" t="b">
        <v>0</v>
      </c>
    </row>
    <row r="17">
      <c r="A17" s="10" t="inlineStr">
        <is>
          <t>Skill Signs</t>
        </is>
      </c>
    </row>
    <row r="18">
      <c r="A18" t="inlineStr">
        <is>
          <t>Can follow simple two-step instructions</t>
        </is>
      </c>
      <c r="B18" t="b">
        <v>0</v>
      </c>
    </row>
    <row r="19">
      <c r="A19" t="inlineStr">
        <is>
          <t>Can communicate needs (words, signs, or gestures)</t>
        </is>
      </c>
      <c r="B19" t="b">
        <v>0</v>
      </c>
    </row>
    <row r="20">
      <c r="A20" t="inlineStr">
        <is>
          <t>Shows interest in imitating adults/older siblings</t>
        </is>
      </c>
      <c r="B20" t="b">
        <v>0</v>
      </c>
    </row>
    <row r="22" ht="34" customHeight="1">
      <c r="A22" s="4" t="inlineStr">
        <is>
          <t>Tip: most kids show some but not all of these before starting, and that's fine — this is a general reference, not a rule.</t>
        </is>
      </c>
    </row>
  </sheetData>
  <mergeCells count="6">
    <mergeCell ref="A10:C10"/>
    <mergeCell ref="A1:C1"/>
    <mergeCell ref="A22:C22"/>
    <mergeCell ref="A17:C17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FD3EF"/>
    <outlinePr summaryBelow="1" summaryRight="1"/>
    <pageSetUpPr/>
  </sheetPr>
  <dimension ref="A1:H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2" customWidth="1" min="8" max="8"/>
  </cols>
  <sheetData>
    <row r="1" ht="32" customHeight="1">
      <c r="A1" s="11" t="inlineStr">
        <is>
          <t>📝 Daily Potty Log</t>
        </is>
      </c>
    </row>
    <row r="2" ht="20" customHeight="1">
      <c r="A2" s="12" t="inlineStr">
        <is>
          <t>One row per day</t>
        </is>
      </c>
    </row>
    <row r="3">
      <c r="A3" s="13" t="inlineStr">
        <is>
          <t>Start date:</t>
        </is>
      </c>
      <c r="B3" s="14" t="inlineStr">
        <is>
          <t>2026-01-01</t>
        </is>
      </c>
      <c r="C3" s="15" t="inlineStr">
        <is>
          <t>⬅ Enter once — the Date column below fills in automatically.</t>
        </is>
      </c>
    </row>
    <row r="4">
      <c r="A4" s="7" t="inlineStr">
        <is>
          <t>Day</t>
        </is>
      </c>
      <c r="B4" s="7" t="inlineStr">
        <is>
          <t>Date</t>
        </is>
      </c>
      <c r="C4" s="7" t="inlineStr">
        <is>
          <t>Successes (#)</t>
        </is>
      </c>
      <c r="D4" s="7" t="inlineStr">
        <is>
          <t>Accidents (#)</t>
        </is>
      </c>
      <c r="E4" s="7" t="inlineStr">
        <is>
          <t>Self-Initiated (#)</t>
        </is>
      </c>
      <c r="F4" s="7" t="inlineStr">
        <is>
          <t>Dry Through Nap</t>
        </is>
      </c>
      <c r="G4" s="7" t="inlineStr">
        <is>
          <t>Reward Given</t>
        </is>
      </c>
      <c r="H4" s="7" t="inlineStr">
        <is>
          <t>Notes</t>
        </is>
      </c>
    </row>
    <row r="5">
      <c r="A5" t="n">
        <v>1</v>
      </c>
      <c r="B5" s="16">
        <f>$B$3+(1-1)</f>
        <v/>
      </c>
      <c r="G5" t="b">
        <v>0</v>
      </c>
    </row>
    <row r="6">
      <c r="A6" t="n">
        <v>2</v>
      </c>
      <c r="B6" s="16">
        <f>$B$3+(2-1)</f>
        <v/>
      </c>
      <c r="G6" t="b">
        <v>0</v>
      </c>
    </row>
    <row r="7">
      <c r="A7" t="n">
        <v>3</v>
      </c>
      <c r="B7" s="16">
        <f>$B$3+(3-1)</f>
        <v/>
      </c>
      <c r="G7" t="b">
        <v>0</v>
      </c>
    </row>
    <row r="8">
      <c r="A8" t="n">
        <v>4</v>
      </c>
      <c r="B8" s="16">
        <f>$B$3+(4-1)</f>
        <v/>
      </c>
      <c r="G8" t="b">
        <v>0</v>
      </c>
    </row>
    <row r="9">
      <c r="A9" t="n">
        <v>5</v>
      </c>
      <c r="B9" s="16">
        <f>$B$3+(5-1)</f>
        <v/>
      </c>
      <c r="G9" t="b">
        <v>0</v>
      </c>
    </row>
    <row r="10">
      <c r="A10" t="n">
        <v>6</v>
      </c>
      <c r="B10" s="16">
        <f>$B$3+(6-1)</f>
        <v/>
      </c>
      <c r="G10" t="b">
        <v>0</v>
      </c>
    </row>
    <row r="11">
      <c r="A11" t="n">
        <v>7</v>
      </c>
      <c r="B11" s="16">
        <f>$B$3+(7-1)</f>
        <v/>
      </c>
      <c r="G11" t="b">
        <v>0</v>
      </c>
    </row>
    <row r="12">
      <c r="A12" t="n">
        <v>8</v>
      </c>
      <c r="B12" s="16">
        <f>$B$3+(8-1)</f>
        <v/>
      </c>
      <c r="G12" t="b">
        <v>0</v>
      </c>
    </row>
    <row r="13">
      <c r="A13" t="n">
        <v>9</v>
      </c>
      <c r="B13" s="16">
        <f>$B$3+(9-1)</f>
        <v/>
      </c>
      <c r="G13" t="b">
        <v>0</v>
      </c>
    </row>
    <row r="14">
      <c r="A14" t="n">
        <v>10</v>
      </c>
      <c r="B14" s="16">
        <f>$B$3+(10-1)</f>
        <v/>
      </c>
      <c r="G14" t="b">
        <v>0</v>
      </c>
    </row>
    <row r="15">
      <c r="A15" t="n">
        <v>11</v>
      </c>
      <c r="B15" s="16">
        <f>$B$3+(11-1)</f>
        <v/>
      </c>
      <c r="G15" t="b">
        <v>0</v>
      </c>
    </row>
    <row r="16">
      <c r="A16" t="n">
        <v>12</v>
      </c>
      <c r="B16" s="16">
        <f>$B$3+(12-1)</f>
        <v/>
      </c>
      <c r="G16" t="b">
        <v>0</v>
      </c>
    </row>
    <row r="17">
      <c r="A17" t="n">
        <v>13</v>
      </c>
      <c r="B17" s="16">
        <f>$B$3+(13-1)</f>
        <v/>
      </c>
      <c r="G17" t="b">
        <v>0</v>
      </c>
    </row>
    <row r="18">
      <c r="A18" t="n">
        <v>14</v>
      </c>
      <c r="B18" s="16">
        <f>$B$3+(14-1)</f>
        <v/>
      </c>
      <c r="G18" t="b">
        <v>0</v>
      </c>
    </row>
    <row r="19">
      <c r="A19" t="n">
        <v>15</v>
      </c>
      <c r="B19" s="16">
        <f>$B$3+(15-1)</f>
        <v/>
      </c>
      <c r="G19" t="b">
        <v>0</v>
      </c>
    </row>
    <row r="20">
      <c r="A20" t="n">
        <v>16</v>
      </c>
      <c r="B20" s="16">
        <f>$B$3+(16-1)</f>
        <v/>
      </c>
      <c r="G20" t="b">
        <v>0</v>
      </c>
    </row>
    <row r="21">
      <c r="A21" t="n">
        <v>17</v>
      </c>
      <c r="B21" s="16">
        <f>$B$3+(17-1)</f>
        <v/>
      </c>
      <c r="G21" t="b">
        <v>0</v>
      </c>
    </row>
    <row r="22">
      <c r="A22" t="n">
        <v>18</v>
      </c>
      <c r="B22" s="16">
        <f>$B$3+(18-1)</f>
        <v/>
      </c>
      <c r="G22" t="b">
        <v>0</v>
      </c>
    </row>
    <row r="23">
      <c r="A23" t="n">
        <v>19</v>
      </c>
      <c r="B23" s="16">
        <f>$B$3+(19-1)</f>
        <v/>
      </c>
      <c r="G23" t="b">
        <v>0</v>
      </c>
    </row>
    <row r="24">
      <c r="A24" t="n">
        <v>20</v>
      </c>
      <c r="B24" s="16">
        <f>$B$3+(20-1)</f>
        <v/>
      </c>
      <c r="G24" t="b">
        <v>0</v>
      </c>
    </row>
    <row r="25">
      <c r="A25" t="n">
        <v>21</v>
      </c>
      <c r="B25" s="16">
        <f>$B$3+(21-1)</f>
        <v/>
      </c>
      <c r="G25" t="b">
        <v>0</v>
      </c>
    </row>
    <row r="26">
      <c r="A26" t="n">
        <v>22</v>
      </c>
      <c r="B26" s="16">
        <f>$B$3+(22-1)</f>
        <v/>
      </c>
      <c r="G26" t="b">
        <v>0</v>
      </c>
    </row>
    <row r="27">
      <c r="A27" t="n">
        <v>23</v>
      </c>
      <c r="B27" s="16">
        <f>$B$3+(23-1)</f>
        <v/>
      </c>
      <c r="G27" t="b">
        <v>0</v>
      </c>
    </row>
    <row r="28">
      <c r="A28" t="n">
        <v>24</v>
      </c>
      <c r="B28" s="16">
        <f>$B$3+(24-1)</f>
        <v/>
      </c>
      <c r="G28" t="b">
        <v>0</v>
      </c>
    </row>
    <row r="29">
      <c r="A29" t="n">
        <v>25</v>
      </c>
      <c r="B29" s="16">
        <f>$B$3+(25-1)</f>
        <v/>
      </c>
      <c r="G29" t="b">
        <v>0</v>
      </c>
    </row>
    <row r="30">
      <c r="A30" t="n">
        <v>26</v>
      </c>
      <c r="B30" s="16">
        <f>$B$3+(26-1)</f>
        <v/>
      </c>
      <c r="G30" t="b">
        <v>0</v>
      </c>
    </row>
    <row r="31">
      <c r="A31" t="n">
        <v>27</v>
      </c>
      <c r="B31" s="16">
        <f>$B$3+(27-1)</f>
        <v/>
      </c>
      <c r="G31" t="b">
        <v>0</v>
      </c>
    </row>
    <row r="32">
      <c r="A32" t="n">
        <v>28</v>
      </c>
      <c r="B32" s="16">
        <f>$B$3+(28-1)</f>
        <v/>
      </c>
      <c r="G32" t="b">
        <v>0</v>
      </c>
    </row>
    <row r="33">
      <c r="A33" t="n">
        <v>29</v>
      </c>
      <c r="B33" s="16">
        <f>$B$3+(29-1)</f>
        <v/>
      </c>
      <c r="G33" t="b">
        <v>0</v>
      </c>
    </row>
    <row r="34">
      <c r="A34" t="n">
        <v>30</v>
      </c>
      <c r="B34" s="16">
        <f>$B$3+(30-1)</f>
        <v/>
      </c>
      <c r="G34" t="b">
        <v>0</v>
      </c>
    </row>
    <row r="36" ht="34" customHeight="1">
      <c r="A36" s="4" t="inlineStr">
        <is>
          <t>Tip: count successes and accidents, not perfection — the trend over 2–3 weeks tells you more than any single day.</t>
        </is>
      </c>
    </row>
  </sheetData>
  <mergeCells count="4">
    <mergeCell ref="A36:H36"/>
    <mergeCell ref="A2:H2"/>
    <mergeCell ref="C3:H3"/>
    <mergeCell ref="A1:H1"/>
  </mergeCells>
  <dataValidations count="1">
    <dataValidation sqref="F5:F34" showDropDown="0" showInputMessage="0" showErrorMessage="0" allowBlank="1" type="list">
      <formula1>"Y,N,N/A"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BE192"/>
    <outlinePr summaryBelow="1" summaryRight="1"/>
    <pageSetUpPr/>
  </sheetPr>
  <dimension ref="A1:E43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2" customHeight="1">
      <c r="A1" s="17" t="inlineStr">
        <is>
          <t>⭐ Reward Chart</t>
        </is>
      </c>
    </row>
    <row r="2" ht="20" customHeight="1">
      <c r="A2" s="18" t="inlineStr">
        <is>
          <t>A sticker for a good try, not just a perfect one</t>
        </is>
      </c>
    </row>
    <row r="3">
      <c r="A3" s="13" t="inlineStr">
        <is>
          <t>Start date:</t>
        </is>
      </c>
      <c r="B3" s="14" t="inlineStr">
        <is>
          <t>2026-01-01</t>
        </is>
      </c>
      <c r="C3" s="15" t="inlineStr">
        <is>
          <t>⬅ Same start date as the Daily Potty Log tab.</t>
        </is>
      </c>
    </row>
    <row r="4">
      <c r="A4" s="7" t="inlineStr">
        <is>
          <t>Day</t>
        </is>
      </c>
      <c r="B4" s="7" t="inlineStr">
        <is>
          <t>Date</t>
        </is>
      </c>
      <c r="C4" s="7" t="inlineStr">
        <is>
          <t>Sticker Earned</t>
        </is>
      </c>
      <c r="D4" s="7" t="inlineStr">
        <is>
          <t>Reward Redeemed</t>
        </is>
      </c>
      <c r="E4" s="7" t="inlineStr">
        <is>
          <t>Notes</t>
        </is>
      </c>
    </row>
    <row r="5">
      <c r="A5" t="n">
        <v>1</v>
      </c>
      <c r="B5" s="16">
        <f>$B$3+(1-1)</f>
        <v/>
      </c>
      <c r="C5" t="b">
        <v>0</v>
      </c>
    </row>
    <row r="6">
      <c r="A6" t="n">
        <v>2</v>
      </c>
      <c r="B6" s="16">
        <f>$B$3+(2-1)</f>
        <v/>
      </c>
      <c r="C6" t="b">
        <v>0</v>
      </c>
    </row>
    <row r="7">
      <c r="A7" t="n">
        <v>3</v>
      </c>
      <c r="B7" s="16">
        <f>$B$3+(3-1)</f>
        <v/>
      </c>
      <c r="C7" t="b">
        <v>0</v>
      </c>
    </row>
    <row r="8">
      <c r="A8" t="n">
        <v>4</v>
      </c>
      <c r="B8" s="16">
        <f>$B$3+(4-1)</f>
        <v/>
      </c>
      <c r="C8" t="b">
        <v>0</v>
      </c>
    </row>
    <row r="9">
      <c r="A9" t="n">
        <v>5</v>
      </c>
      <c r="B9" s="16">
        <f>$B$3+(5-1)</f>
        <v/>
      </c>
      <c r="C9" t="b">
        <v>0</v>
      </c>
    </row>
    <row r="10">
      <c r="A10" t="n">
        <v>6</v>
      </c>
      <c r="B10" s="16">
        <f>$B$3+(6-1)</f>
        <v/>
      </c>
      <c r="C10" t="b">
        <v>0</v>
      </c>
    </row>
    <row r="11">
      <c r="A11" t="n">
        <v>7</v>
      </c>
      <c r="B11" s="16">
        <f>$B$3+(7-1)</f>
        <v/>
      </c>
      <c r="C11" t="b">
        <v>0</v>
      </c>
    </row>
    <row r="12">
      <c r="A12" t="n">
        <v>8</v>
      </c>
      <c r="B12" s="16">
        <f>$B$3+(8-1)</f>
        <v/>
      </c>
      <c r="C12" t="b">
        <v>0</v>
      </c>
    </row>
    <row r="13">
      <c r="A13" t="n">
        <v>9</v>
      </c>
      <c r="B13" s="16">
        <f>$B$3+(9-1)</f>
        <v/>
      </c>
      <c r="C13" t="b">
        <v>0</v>
      </c>
    </row>
    <row r="14">
      <c r="A14" t="n">
        <v>10</v>
      </c>
      <c r="B14" s="16">
        <f>$B$3+(10-1)</f>
        <v/>
      </c>
      <c r="C14" t="b">
        <v>0</v>
      </c>
    </row>
    <row r="15">
      <c r="A15" t="n">
        <v>11</v>
      </c>
      <c r="B15" s="16">
        <f>$B$3+(11-1)</f>
        <v/>
      </c>
      <c r="C15" t="b">
        <v>0</v>
      </c>
    </row>
    <row r="16">
      <c r="A16" t="n">
        <v>12</v>
      </c>
      <c r="B16" s="16">
        <f>$B$3+(12-1)</f>
        <v/>
      </c>
      <c r="C16" t="b">
        <v>0</v>
      </c>
    </row>
    <row r="17">
      <c r="A17" t="n">
        <v>13</v>
      </c>
      <c r="B17" s="16">
        <f>$B$3+(13-1)</f>
        <v/>
      </c>
      <c r="C17" t="b">
        <v>0</v>
      </c>
    </row>
    <row r="18">
      <c r="A18" t="n">
        <v>14</v>
      </c>
      <c r="B18" s="16">
        <f>$B$3+(14-1)</f>
        <v/>
      </c>
      <c r="C18" t="b">
        <v>0</v>
      </c>
    </row>
    <row r="19">
      <c r="A19" t="n">
        <v>15</v>
      </c>
      <c r="B19" s="16">
        <f>$B$3+(15-1)</f>
        <v/>
      </c>
      <c r="C19" t="b">
        <v>0</v>
      </c>
    </row>
    <row r="20">
      <c r="A20" t="n">
        <v>16</v>
      </c>
      <c r="B20" s="16">
        <f>$B$3+(16-1)</f>
        <v/>
      </c>
      <c r="C20" t="b">
        <v>0</v>
      </c>
    </row>
    <row r="21">
      <c r="A21" t="n">
        <v>17</v>
      </c>
      <c r="B21" s="16">
        <f>$B$3+(17-1)</f>
        <v/>
      </c>
      <c r="C21" t="b">
        <v>0</v>
      </c>
    </row>
    <row r="22">
      <c r="A22" t="n">
        <v>18</v>
      </c>
      <c r="B22" s="16">
        <f>$B$3+(18-1)</f>
        <v/>
      </c>
      <c r="C22" t="b">
        <v>0</v>
      </c>
    </row>
    <row r="23">
      <c r="A23" t="n">
        <v>19</v>
      </c>
      <c r="B23" s="16">
        <f>$B$3+(19-1)</f>
        <v/>
      </c>
      <c r="C23" t="b">
        <v>0</v>
      </c>
    </row>
    <row r="24">
      <c r="A24" t="n">
        <v>20</v>
      </c>
      <c r="B24" s="16">
        <f>$B$3+(20-1)</f>
        <v/>
      </c>
      <c r="C24" t="b">
        <v>0</v>
      </c>
    </row>
    <row r="25">
      <c r="A25" t="n">
        <v>21</v>
      </c>
      <c r="B25" s="16">
        <f>$B$3+(21-1)</f>
        <v/>
      </c>
      <c r="C25" t="b">
        <v>0</v>
      </c>
    </row>
    <row r="26">
      <c r="A26" t="n">
        <v>22</v>
      </c>
      <c r="B26" s="16">
        <f>$B$3+(22-1)</f>
        <v/>
      </c>
      <c r="C26" t="b">
        <v>0</v>
      </c>
    </row>
    <row r="27">
      <c r="A27" t="n">
        <v>23</v>
      </c>
      <c r="B27" s="16">
        <f>$B$3+(23-1)</f>
        <v/>
      </c>
      <c r="C27" t="b">
        <v>0</v>
      </c>
    </row>
    <row r="28">
      <c r="A28" t="n">
        <v>24</v>
      </c>
      <c r="B28" s="16">
        <f>$B$3+(24-1)</f>
        <v/>
      </c>
      <c r="C28" t="b">
        <v>0</v>
      </c>
    </row>
    <row r="29">
      <c r="A29" t="n">
        <v>25</v>
      </c>
      <c r="B29" s="16">
        <f>$B$3+(25-1)</f>
        <v/>
      </c>
      <c r="C29" t="b">
        <v>0</v>
      </c>
    </row>
    <row r="30">
      <c r="A30" t="n">
        <v>26</v>
      </c>
      <c r="B30" s="16">
        <f>$B$3+(26-1)</f>
        <v/>
      </c>
      <c r="C30" t="b">
        <v>0</v>
      </c>
    </row>
    <row r="31">
      <c r="A31" t="n">
        <v>27</v>
      </c>
      <c r="B31" s="16">
        <f>$B$3+(27-1)</f>
        <v/>
      </c>
      <c r="C31" t="b">
        <v>0</v>
      </c>
    </row>
    <row r="32">
      <c r="A32" t="n">
        <v>28</v>
      </c>
      <c r="B32" s="16">
        <f>$B$3+(28-1)</f>
        <v/>
      </c>
      <c r="C32" t="b">
        <v>0</v>
      </c>
    </row>
    <row r="33">
      <c r="A33" t="n">
        <v>29</v>
      </c>
      <c r="B33" s="16">
        <f>$B$3+(29-1)</f>
        <v/>
      </c>
      <c r="C33" t="b">
        <v>0</v>
      </c>
    </row>
    <row r="34">
      <c r="A34" t="n">
        <v>30</v>
      </c>
      <c r="B34" s="16">
        <f>$B$3+(30-1)</f>
        <v/>
      </c>
      <c r="C34" t="b">
        <v>0</v>
      </c>
    </row>
    <row r="37">
      <c r="A37" s="19" t="inlineStr">
        <is>
          <t>Reward Menu — fill in with your child</t>
        </is>
      </c>
    </row>
    <row r="38">
      <c r="A38" s="7" t="inlineStr">
        <is>
          <t>Stickers Needed</t>
        </is>
      </c>
      <c r="B38" s="7" t="inlineStr">
        <is>
          <t>Reward</t>
        </is>
      </c>
      <c r="C38" s="7" t="inlineStr"/>
      <c r="D38" s="7" t="inlineStr"/>
      <c r="E38" s="7" t="inlineStr"/>
    </row>
    <row r="39">
      <c r="A39" t="n">
        <v>5</v>
      </c>
      <c r="B39" t="inlineStr"/>
    </row>
    <row r="40">
      <c r="A40" t="n">
        <v>10</v>
      </c>
      <c r="B40" t="inlineStr"/>
    </row>
    <row r="41">
      <c r="A41" t="n">
        <v>20</v>
      </c>
      <c r="B41" t="inlineStr"/>
    </row>
    <row r="43" ht="34" customHeight="1">
      <c r="A43" s="4" t="inlineStr">
        <is>
          <t>Tip: small, frequent rewards (a sticker, a high-five, a favorite song) tend to work better than big, rare ones at this age.</t>
        </is>
      </c>
    </row>
  </sheetData>
  <mergeCells count="5">
    <mergeCell ref="A43:E43"/>
    <mergeCell ref="A2:E2"/>
    <mergeCell ref="A1:E1"/>
    <mergeCell ref="A37:E37"/>
    <mergeCell ref="C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B8ED"/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32" customHeight="1">
      <c r="A1" s="1" t="inlineStr">
        <is>
          <t>🌙 Nighttime Training</t>
        </is>
      </c>
    </row>
    <row r="2" ht="20" customHeight="1">
      <c r="A2" s="2" t="inlineStr">
        <is>
          <t>Usually starts months after daytime training — no rush</t>
        </is>
      </c>
    </row>
    <row r="3">
      <c r="A3" s="13" t="inlineStr">
        <is>
          <t>Start date:</t>
        </is>
      </c>
      <c r="B3" s="14" t="inlineStr">
        <is>
          <t>2026-01-01</t>
        </is>
      </c>
      <c r="C3" s="15" t="inlineStr">
        <is>
          <t>⬅ This is often a separate, later start date from daytime training.</t>
        </is>
      </c>
    </row>
    <row r="4">
      <c r="A4" s="7" t="inlineStr">
        <is>
          <t>Day</t>
        </is>
      </c>
      <c r="B4" s="7" t="inlineStr">
        <is>
          <t>Date</t>
        </is>
      </c>
      <c r="C4" s="7" t="inlineStr">
        <is>
          <t>Dry Overnight</t>
        </is>
      </c>
      <c r="D4" s="7" t="inlineStr">
        <is>
          <t>Woke to Use Potty (#)</t>
        </is>
      </c>
      <c r="E4" s="7" t="inlineStr">
        <is>
          <t>Wearing</t>
        </is>
      </c>
      <c r="F4" s="7" t="inlineStr">
        <is>
          <t>Notes</t>
        </is>
      </c>
    </row>
    <row r="5">
      <c r="A5" t="n">
        <v>1</v>
      </c>
      <c r="B5" s="16">
        <f>$B$3+(1-1)</f>
        <v/>
      </c>
    </row>
    <row r="6">
      <c r="A6" t="n">
        <v>2</v>
      </c>
      <c r="B6" s="16">
        <f>$B$3+(2-1)</f>
        <v/>
      </c>
    </row>
    <row r="7">
      <c r="A7" t="n">
        <v>3</v>
      </c>
      <c r="B7" s="16">
        <f>$B$3+(3-1)</f>
        <v/>
      </c>
    </row>
    <row r="8">
      <c r="A8" t="n">
        <v>4</v>
      </c>
      <c r="B8" s="16">
        <f>$B$3+(4-1)</f>
        <v/>
      </c>
    </row>
    <row r="9">
      <c r="A9" t="n">
        <v>5</v>
      </c>
      <c r="B9" s="16">
        <f>$B$3+(5-1)</f>
        <v/>
      </c>
    </row>
    <row r="10">
      <c r="A10" t="n">
        <v>6</v>
      </c>
      <c r="B10" s="16">
        <f>$B$3+(6-1)</f>
        <v/>
      </c>
    </row>
    <row r="11">
      <c r="A11" t="n">
        <v>7</v>
      </c>
      <c r="B11" s="16">
        <f>$B$3+(7-1)</f>
        <v/>
      </c>
    </row>
    <row r="12">
      <c r="A12" t="n">
        <v>8</v>
      </c>
      <c r="B12" s="16">
        <f>$B$3+(8-1)</f>
        <v/>
      </c>
    </row>
    <row r="13">
      <c r="A13" t="n">
        <v>9</v>
      </c>
      <c r="B13" s="16">
        <f>$B$3+(9-1)</f>
        <v/>
      </c>
    </row>
    <row r="14">
      <c r="A14" t="n">
        <v>10</v>
      </c>
      <c r="B14" s="16">
        <f>$B$3+(10-1)</f>
        <v/>
      </c>
    </row>
    <row r="15">
      <c r="A15" t="n">
        <v>11</v>
      </c>
      <c r="B15" s="16">
        <f>$B$3+(11-1)</f>
        <v/>
      </c>
    </row>
    <row r="16">
      <c r="A16" t="n">
        <v>12</v>
      </c>
      <c r="B16" s="16">
        <f>$B$3+(12-1)</f>
        <v/>
      </c>
    </row>
    <row r="17">
      <c r="A17" t="n">
        <v>13</v>
      </c>
      <c r="B17" s="16">
        <f>$B$3+(13-1)</f>
        <v/>
      </c>
    </row>
    <row r="18">
      <c r="A18" t="n">
        <v>14</v>
      </c>
      <c r="B18" s="16">
        <f>$B$3+(14-1)</f>
        <v/>
      </c>
    </row>
    <row r="19">
      <c r="A19" t="n">
        <v>15</v>
      </c>
      <c r="B19" s="16">
        <f>$B$3+(15-1)</f>
        <v/>
      </c>
    </row>
    <row r="20">
      <c r="A20" t="n">
        <v>16</v>
      </c>
      <c r="B20" s="16">
        <f>$B$3+(16-1)</f>
        <v/>
      </c>
    </row>
    <row r="21">
      <c r="A21" t="n">
        <v>17</v>
      </c>
      <c r="B21" s="16">
        <f>$B$3+(17-1)</f>
        <v/>
      </c>
    </row>
    <row r="22">
      <c r="A22" t="n">
        <v>18</v>
      </c>
      <c r="B22" s="16">
        <f>$B$3+(18-1)</f>
        <v/>
      </c>
    </row>
    <row r="23">
      <c r="A23" t="n">
        <v>19</v>
      </c>
      <c r="B23" s="16">
        <f>$B$3+(19-1)</f>
        <v/>
      </c>
    </row>
    <row r="24">
      <c r="A24" t="n">
        <v>20</v>
      </c>
      <c r="B24" s="16">
        <f>$B$3+(20-1)</f>
        <v/>
      </c>
    </row>
    <row r="25">
      <c r="A25" t="n">
        <v>21</v>
      </c>
      <c r="B25" s="16">
        <f>$B$3+(21-1)</f>
        <v/>
      </c>
    </row>
    <row r="26">
      <c r="A26" t="n">
        <v>22</v>
      </c>
      <c r="B26" s="16">
        <f>$B$3+(22-1)</f>
        <v/>
      </c>
    </row>
    <row r="27">
      <c r="A27" t="n">
        <v>23</v>
      </c>
      <c r="B27" s="16">
        <f>$B$3+(23-1)</f>
        <v/>
      </c>
    </row>
    <row r="28">
      <c r="A28" t="n">
        <v>24</v>
      </c>
      <c r="B28" s="16">
        <f>$B$3+(24-1)</f>
        <v/>
      </c>
    </row>
    <row r="29">
      <c r="A29" t="n">
        <v>25</v>
      </c>
      <c r="B29" s="16">
        <f>$B$3+(25-1)</f>
        <v/>
      </c>
    </row>
    <row r="30">
      <c r="A30" t="n">
        <v>26</v>
      </c>
      <c r="B30" s="16">
        <f>$B$3+(26-1)</f>
        <v/>
      </c>
    </row>
    <row r="31">
      <c r="A31" t="n">
        <v>27</v>
      </c>
      <c r="B31" s="16">
        <f>$B$3+(27-1)</f>
        <v/>
      </c>
    </row>
    <row r="32">
      <c r="A32" t="n">
        <v>28</v>
      </c>
      <c r="B32" s="16">
        <f>$B$3+(28-1)</f>
        <v/>
      </c>
    </row>
    <row r="33">
      <c r="A33" t="n">
        <v>29</v>
      </c>
      <c r="B33" s="16">
        <f>$B$3+(29-1)</f>
        <v/>
      </c>
    </row>
    <row r="34">
      <c r="A34" t="n">
        <v>30</v>
      </c>
      <c r="B34" s="16">
        <f>$B$3+(30-1)</f>
        <v/>
      </c>
    </row>
    <row r="36" ht="34" customHeight="1">
      <c r="A36" s="4" t="inlineStr">
        <is>
          <t>Tip: many kids stay in pull-ups overnight well after daytime training — that's typical, not a setback.</t>
        </is>
      </c>
    </row>
  </sheetData>
  <mergeCells count="4">
    <mergeCell ref="A36:F36"/>
    <mergeCell ref="A2:F2"/>
    <mergeCell ref="A1:F1"/>
    <mergeCell ref="C3:F3"/>
  </mergeCells>
  <dataValidations count="2">
    <dataValidation sqref="C5:C34" showDropDown="0" showInputMessage="0" showErrorMessage="0" allowBlank="1" type="list">
      <formula1>"Y,N"</formula1>
    </dataValidation>
    <dataValidation sqref="E5:E34" showDropDown="0" showInputMessage="0" showErrorMessage="0" allowBlank="1" type="list">
      <formula1>"Underwear,Pull-Up,Diaper"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8C39E"/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20" t="inlineStr">
        <is>
          <t>🔄 Regression Log</t>
        </is>
      </c>
    </row>
    <row r="2" ht="20" customHeight="1">
      <c r="A2" s="21" t="inlineStr">
        <is>
          <t>Setbacks happen — this is a place to notice why, not to worry</t>
        </is>
      </c>
    </row>
    <row r="3">
      <c r="A3" s="7" t="inlineStr">
        <is>
          <t>Date</t>
        </is>
      </c>
      <c r="B3" s="7" t="inlineStr">
        <is>
          <t>Possible Trigger</t>
        </is>
      </c>
      <c r="C3" s="7" t="inlineStr">
        <is>
          <t>What Happened</t>
        </is>
      </c>
      <c r="D3" s="7" t="inlineStr">
        <is>
          <t>How We Responded</t>
        </is>
      </c>
      <c r="E3" s="7" t="inlineStr">
        <is>
          <t>Notes</t>
        </is>
      </c>
    </row>
    <row r="4">
      <c r="A4" s="16" t="n"/>
    </row>
    <row r="5">
      <c r="A5" s="16" t="n"/>
    </row>
    <row r="6">
      <c r="A6" s="16" t="n"/>
    </row>
    <row r="7">
      <c r="A7" s="16" t="n"/>
    </row>
    <row r="8">
      <c r="A8" s="16" t="n"/>
    </row>
    <row r="9">
      <c r="A9" s="16" t="n"/>
    </row>
    <row r="10">
      <c r="A10" s="16" t="n"/>
    </row>
    <row r="11">
      <c r="A11" s="16" t="n"/>
    </row>
    <row r="12">
      <c r="A12" s="16" t="n"/>
    </row>
    <row r="13">
      <c r="A13" s="16" t="n"/>
    </row>
    <row r="14">
      <c r="A14" s="16" t="n"/>
    </row>
    <row r="15">
      <c r="A15" s="16" t="n"/>
    </row>
    <row r="16">
      <c r="A16" s="16" t="n"/>
    </row>
    <row r="17">
      <c r="A17" s="16" t="n"/>
    </row>
    <row r="18">
      <c r="A18" s="16" t="n"/>
    </row>
    <row r="20" ht="34" customHeight="1">
      <c r="A20" s="4" t="inlineStr">
        <is>
          <t>Regressions are extremely common and almost always temporary. A calm, low-pressure response tends to help more than correction.</t>
        </is>
      </c>
    </row>
  </sheetData>
  <mergeCells count="3">
    <mergeCell ref="A2:E2"/>
    <mergeCell ref="A1:E1"/>
    <mergeCell ref="A20:E20"/>
  </mergeCells>
  <dataValidations count="1">
    <dataValidation sqref="B4:B18" showDropDown="0" showInputMessage="0" showErrorMessage="0" allowBlank="1" type="list">
      <formula1>"New sibling,Move/travel,Illness,New school/daycare,Big schedule change,Stress,Unknown,Other"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EE4C9"/>
    <outlinePr summaryBelow="1" summaryRight="1"/>
    <pageSetUpPr/>
  </sheetPr>
  <dimension ref="A1:E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2" customWidth="1" min="4" max="4"/>
    <col width="30" customWidth="1" min="5" max="5"/>
  </cols>
  <sheetData>
    <row r="1" ht="32" customHeight="1">
      <c r="A1" s="22" t="inlineStr">
        <is>
          <t>📍 Accident Patterns</t>
        </is>
      </c>
    </row>
    <row r="2" ht="20" customHeight="1">
      <c r="A2" s="23" t="inlineStr">
        <is>
          <t>Time and place tell you more than the accident itself</t>
        </is>
      </c>
    </row>
    <row r="3">
      <c r="A3" s="7" t="inlineStr">
        <is>
          <t>Date</t>
        </is>
      </c>
      <c r="B3" s="7" t="inlineStr">
        <is>
          <t>Time of Day</t>
        </is>
      </c>
      <c r="C3" s="7" t="inlineStr">
        <is>
          <t>Location</t>
        </is>
      </c>
      <c r="D3" s="7" t="inlineStr">
        <is>
          <t>Likely Cause</t>
        </is>
      </c>
      <c r="E3" s="7" t="inlineStr">
        <is>
          <t>Notes</t>
        </is>
      </c>
    </row>
    <row r="4">
      <c r="A4" s="16" t="n"/>
    </row>
    <row r="5">
      <c r="A5" s="16" t="n"/>
    </row>
    <row r="6">
      <c r="A6" s="16" t="n"/>
    </row>
    <row r="7">
      <c r="A7" s="16" t="n"/>
    </row>
    <row r="8">
      <c r="A8" s="16" t="n"/>
    </row>
    <row r="9">
      <c r="A9" s="16" t="n"/>
    </row>
    <row r="10">
      <c r="A10" s="16" t="n"/>
    </row>
    <row r="11">
      <c r="A11" s="16" t="n"/>
    </row>
    <row r="12">
      <c r="A12" s="16" t="n"/>
    </row>
    <row r="13">
      <c r="A13" s="16" t="n"/>
    </row>
    <row r="14">
      <c r="A14" s="16" t="n"/>
    </row>
    <row r="15">
      <c r="A15" s="16" t="n"/>
    </row>
    <row r="16">
      <c r="A16" s="16" t="n"/>
    </row>
    <row r="17">
      <c r="A17" s="16" t="n"/>
    </row>
    <row r="18">
      <c r="A18" s="16" t="n"/>
    </row>
    <row r="19">
      <c r="A19" s="16" t="n"/>
    </row>
    <row r="20">
      <c r="A20" s="16" t="n"/>
    </row>
    <row r="21">
      <c r="A21" s="16" t="n"/>
    </row>
    <row r="22">
      <c r="A22" s="16" t="n"/>
    </row>
    <row r="23">
      <c r="A23" s="16" t="n"/>
    </row>
    <row r="24">
      <c r="A24" s="16" t="n"/>
    </row>
    <row r="25">
      <c r="A25" s="16" t="n"/>
    </row>
    <row r="26">
      <c r="A26" s="16" t="n"/>
    </row>
    <row r="27">
      <c r="A27" s="16" t="n"/>
    </row>
    <row r="28">
      <c r="A28" s="16" t="n"/>
    </row>
    <row r="29">
      <c r="A29" s="16" t="n"/>
    </row>
    <row r="30">
      <c r="A30" s="16" t="n"/>
    </row>
    <row r="31">
      <c r="A31" s="16" t="n"/>
    </row>
    <row r="32">
      <c r="A32" s="16" t="n"/>
    </row>
    <row r="33">
      <c r="A33" s="16" t="n"/>
    </row>
    <row r="36">
      <c r="A36" s="24" t="inlineStr">
        <is>
          <t>Accidents by Time of Day (auto-counted from above)</t>
        </is>
      </c>
    </row>
    <row r="37">
      <c r="A37" t="inlineStr">
        <is>
          <t>Morning</t>
        </is>
      </c>
      <c r="B37">
        <f>COUNTIF(B4:B33,A37)</f>
        <v/>
      </c>
    </row>
    <row r="38">
      <c r="A38" t="inlineStr">
        <is>
          <t>Afternoon</t>
        </is>
      </c>
      <c r="B38">
        <f>COUNTIF(B4:B33,A38)</f>
        <v/>
      </c>
    </row>
    <row r="39">
      <c r="A39" t="inlineStr">
        <is>
          <t>Evening</t>
        </is>
      </c>
      <c r="B39">
        <f>COUNTIF(B4:B33,A39)</f>
        <v/>
      </c>
    </row>
    <row r="40">
      <c r="A40" t="inlineStr">
        <is>
          <t>Overnight</t>
        </is>
      </c>
      <c r="B40">
        <f>COUNTIF(B4:B33,A40)</f>
        <v/>
      </c>
    </row>
    <row r="52" ht="34" customHeight="1">
      <c r="A52" s="4" t="inlineStr">
        <is>
          <t>Tip: a cluster around one time or place (e.g. right after arriving at daycare, or during car rides) usually means a proactive reminder there helps more than a reaction after the fact.</t>
        </is>
      </c>
    </row>
  </sheetData>
  <mergeCells count="4">
    <mergeCell ref="A2:E2"/>
    <mergeCell ref="A52:E52"/>
    <mergeCell ref="A1:E1"/>
    <mergeCell ref="A36:E36"/>
  </mergeCells>
  <dataValidations count="2">
    <dataValidation sqref="B4:B33" showDropDown="0" showInputMessage="0" showErrorMessage="0" allowBlank="1" type="list">
      <formula1>"Morning,Afternoon,Evening,Overnight"</formula1>
    </dataValidation>
    <dataValidation sqref="C4:C33" showDropDown="0" showInputMessage="0" showErrorMessage="0" allowBlank="1" type="list">
      <formula1>"Home,Car,Preschool/Daycare,Out &amp; About,Other"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C9B8ED"/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34" customWidth="1" min="4" max="4"/>
  </cols>
  <sheetData>
    <row r="1" ht="32" customHeight="1">
      <c r="A1" s="1" t="inlineStr">
        <is>
          <t>🎉 Milestones</t>
        </is>
      </c>
    </row>
    <row r="2" ht="20" customHeight="1">
      <c r="A2" s="2" t="inlineStr">
        <is>
          <t>In whatever order they happen</t>
        </is>
      </c>
    </row>
    <row r="3">
      <c r="A3" s="7" t="inlineStr">
        <is>
          <t>Milestone</t>
        </is>
      </c>
      <c r="B3" s="7" t="inlineStr">
        <is>
          <t>Achieved</t>
        </is>
      </c>
      <c r="C3" s="7" t="inlineStr">
        <is>
          <t>Date Achieved</t>
        </is>
      </c>
      <c r="D3" s="7" t="inlineStr">
        <is>
          <t>Notes</t>
        </is>
      </c>
    </row>
    <row r="4">
      <c r="A4" t="inlineStr">
        <is>
          <t>Shows interest in the potty/toilet</t>
        </is>
      </c>
      <c r="B4" t="b">
        <v>0</v>
      </c>
      <c r="C4" s="16" t="n"/>
    </row>
    <row r="5">
      <c r="A5" t="inlineStr">
        <is>
          <t>Sits on the potty with clothes on</t>
        </is>
      </c>
      <c r="B5" t="b">
        <v>0</v>
      </c>
      <c r="C5" s="16" t="n"/>
    </row>
    <row r="6">
      <c r="A6" t="inlineStr">
        <is>
          <t>Sits on the potty with clothes off</t>
        </is>
      </c>
      <c r="B6" t="b">
        <v>0</v>
      </c>
      <c r="C6" s="16" t="n"/>
    </row>
    <row r="7">
      <c r="A7" t="inlineStr">
        <is>
          <t>First pee in the potty</t>
        </is>
      </c>
      <c r="B7" t="b">
        <v>0</v>
      </c>
      <c r="C7" s="16" t="n"/>
    </row>
    <row r="8">
      <c r="A8" t="inlineStr">
        <is>
          <t>First poop in the potty</t>
        </is>
      </c>
      <c r="B8" t="b">
        <v>0</v>
      </c>
      <c r="C8" s="16" t="n"/>
    </row>
    <row r="9">
      <c r="A9" t="inlineStr">
        <is>
          <t>Tells us before an accident</t>
        </is>
      </c>
      <c r="B9" t="b">
        <v>0</v>
      </c>
      <c r="C9" s="16" t="n"/>
    </row>
    <row r="10">
      <c r="A10" t="inlineStr">
        <is>
          <t>Initiates going to the potty independently</t>
        </is>
      </c>
      <c r="B10" t="b">
        <v>0</v>
      </c>
      <c r="C10" s="16" t="n"/>
    </row>
    <row r="11">
      <c r="A11" t="inlineStr">
        <is>
          <t>Stays dry through a nap</t>
        </is>
      </c>
      <c r="B11" t="b">
        <v>0</v>
      </c>
      <c r="C11" s="16" t="n"/>
    </row>
    <row r="12">
      <c r="A12" t="inlineStr">
        <is>
          <t>Wipes with help</t>
        </is>
      </c>
      <c r="B12" t="b">
        <v>0</v>
      </c>
      <c r="C12" s="16" t="n"/>
    </row>
    <row r="13">
      <c r="A13" t="inlineStr">
        <is>
          <t>Wipes independently</t>
        </is>
      </c>
      <c r="B13" t="b">
        <v>0</v>
      </c>
      <c r="C13" s="16" t="n"/>
    </row>
    <row r="14">
      <c r="A14" t="inlineStr">
        <is>
          <t>Washes hands independently</t>
        </is>
      </c>
      <c r="B14" t="b">
        <v>0</v>
      </c>
      <c r="C14" s="16" t="n"/>
    </row>
    <row r="15">
      <c r="A15" t="inlineStr">
        <is>
          <t>Fully out of daytime diapers/pull-ups</t>
        </is>
      </c>
      <c r="B15" t="b">
        <v>0</v>
      </c>
      <c r="C15" s="16" t="n"/>
    </row>
    <row r="16">
      <c r="A16" t="inlineStr">
        <is>
          <t>Stays dry overnight</t>
        </is>
      </c>
      <c r="B16" t="b">
        <v>0</v>
      </c>
      <c r="C16" s="16" t="n"/>
    </row>
    <row r="17">
      <c r="A17" t="inlineStr">
        <is>
          <t>Fully out of nighttime diapers/pull-ups</t>
        </is>
      </c>
      <c r="B17" t="b">
        <v>0</v>
      </c>
      <c r="C17" s="16" t="n"/>
    </row>
    <row r="19" ht="34" customHeight="1">
      <c r="A19" s="4" t="inlineStr">
        <is>
          <t>Daytime and nighttime dryness often arrive months apart — both are worth celebrating on their own.</t>
        </is>
      </c>
    </row>
  </sheetData>
  <mergeCells count="3">
    <mergeCell ref="A1:D1"/>
    <mergeCell ref="A19:D19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4AFC9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20" t="inlineStr">
        <is>
          <t>📊 Dashboard</t>
        </is>
      </c>
    </row>
    <row r="2" ht="20" customHeight="1">
      <c r="A2" s="21" t="inlineStr">
        <is>
          <t>A one-page snapshot of progress so far</t>
        </is>
      </c>
    </row>
    <row r="22">
      <c r="A22" s="13" t="inlineStr">
        <is>
          <t>Milestones achieved:</t>
        </is>
      </c>
    </row>
    <row r="23">
      <c r="A23" s="25">
        <f>COUNTIF(Milestones!B:B,TRUE)&amp;" of 14 checked"</f>
        <v/>
      </c>
    </row>
    <row r="25">
      <c r="A25" s="13" t="inlineStr">
        <is>
          <t>Stickers earned so far:</t>
        </is>
      </c>
    </row>
    <row r="26">
      <c r="A26" s="25">
        <f>COUNTIF('Reward Chart'!C:C,TRUE)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2026-08-29T08:11:59Z</dcterms:created>
  <dcterms:modified xsi:type="dcterms:W3CDTF">2026-08-29T08:11:59Z</dcterms:modified>
</cp:coreProperties>
</file>