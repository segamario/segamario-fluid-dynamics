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Pregnancy Prep" sheetId="2" state="visible" r:id="rId2"/>
    <sheet name="Prenatal Health" sheetId="3" state="visible" r:id="rId3"/>
    <sheet name="Hospital Bag" sheetId="4" state="visible" r:id="rId4"/>
    <sheet name="Postpartum Mom" sheetId="5" state="visible" r:id="rId5"/>
    <sheet name="Newborn Daily Log" sheetId="6" state="visible" r:id="rId6"/>
    <sheet name="Baby Weekly Log" sheetId="7" state="visible" r:id="rId7"/>
    <sheet name="Growth Tracker" sheetId="8" state="visible" r:id="rId8"/>
    <sheet name="Milestones" sheetId="9" state="visible" r:id="rId9"/>
    <sheet name="Vaccinations" sheetId="10" state="visible" r:id="rId10"/>
    <sheet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FF4A4A4A"/>
      <sz val="20"/>
    </font>
    <font>
      <i val="1"/>
      <color rgb="FF4A4A4A"/>
      <sz val="12"/>
    </font>
    <font>
      <b val="1"/>
      <color rgb="FF4A4A4A"/>
      <sz val="13"/>
    </font>
    <font>
      <i val="1"/>
      <color rgb="FF4A4A4A"/>
      <sz val="10"/>
    </font>
    <font>
      <b val="1"/>
      <color rgb="FF4A4A4A"/>
      <sz val="11"/>
    </font>
    <font>
      <b val="1"/>
      <color rgb="FFF4AFC9"/>
      <sz val="18"/>
    </font>
  </fonts>
  <fills count="9">
    <fill>
      <patternFill/>
    </fill>
    <fill>
      <patternFill patternType="gray125"/>
    </fill>
    <fill>
      <patternFill patternType="solid">
        <fgColor rgb="FFE6DFF7"/>
        <bgColor rgb="FFE6DFF7"/>
      </patternFill>
    </fill>
    <fill>
      <patternFill patternType="solid">
        <fgColor rgb="FFFBD8E5"/>
        <bgColor rgb="FFFBD8E5"/>
      </patternFill>
    </fill>
    <fill>
      <patternFill patternType="solid">
        <fgColor rgb="FFF4F4F4"/>
        <bgColor rgb="FFF4F4F4"/>
      </patternFill>
    </fill>
    <fill>
      <patternFill patternType="solid">
        <fgColor rgb="FFD6E8F7"/>
        <bgColor rgb="FFD6E8F7"/>
      </patternFill>
    </fill>
    <fill>
      <patternFill patternType="solid">
        <fgColor rgb="FFD9F2E6"/>
        <bgColor rgb="FFD9F2E6"/>
      </patternFill>
    </fill>
    <fill>
      <patternFill patternType="solid">
        <fgColor rgb="FFFFF3CE"/>
        <bgColor rgb="FFFFF3CE"/>
      </patternFill>
    </fill>
    <fill>
      <patternFill patternType="solid">
        <fgColor rgb="FFFDE3D3"/>
        <bgColor rgb="FFFDE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5" fillId="0" borderId="0" pivotButton="0" quotePrefix="0" xfId="0"/>
    <xf numFmtId="164" fontId="0" fillId="7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/>
    </xf>
    <xf numFmtId="0" fontId="5" fillId="7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/>
    </xf>
    <xf numFmtId="0" fontId="5" fillId="2" borderId="0" pivotButton="0" quotePrefix="0" xfId="0"/>
    <xf numFmtId="0" fontId="5" fillId="8" borderId="0" pivotButton="0" quotePrefix="0" xfId="0"/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2">
    <dxf>
      <font>
        <color rgb="FFB33A3A"/>
        <sz val="11"/>
      </font>
      <fill>
        <patternFill patternType="solid">
          <fgColor rgb="FFF9D6D6"/>
          <bgColor rgb="FFF9D6D6"/>
        </patternFill>
      </fill>
    </dxf>
    <dxf>
      <font>
        <color rgb="FFB33A3A"/>
        <sz val="11"/>
      </font>
      <fill>
        <patternFill patternType="solid">
          <fgColor rgb="FFF8C39E"/>
          <bgColor rgb="FFF8C3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Curve — Weight &amp; Height</a:t>
            </a:r>
          </a:p>
        </rich>
      </tx>
    </title>
    <plotArea>
      <lineChart>
        <grouping val="standard"/>
        <ser>
          <idx val="0"/>
          <order val="0"/>
          <tx>
            <v>Weight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Tracker'!$A$4:$A$15</f>
            </numRef>
          </cat>
          <val>
            <numRef>
              <f>'Growth Tracker'!$D$4:$D$15</f>
            </numRef>
          </val>
        </ser>
        <ser>
          <idx val="1"/>
          <order val="1"/>
          <tx>
            <v>Height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Tracker'!$A$4:$A$15</f>
            </numRef>
          </cat>
          <val>
            <numRef>
              <f>'Growth Tracker'!$E$4:$E$15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Maternal Weight by Week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'Prenatal Health'!$A$5:$A$44</f>
            </numRef>
          </cat>
          <val>
            <numRef>
              <f>'Prenatal Health'!$C$5:$C$44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Baby Growth Curve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Tracker'!$A$4:$A$15</f>
            </numRef>
          </cat>
          <val>
            <numRef>
              <f>'Growth Tracker'!$D$4:$D$15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 Tracker'!$A$4:$A$15</f>
            </numRef>
          </cat>
          <val>
            <numRef>
              <f>'Growth Tracker'!$E$4:$E$15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Newborn Feedings &amp; Wet Diapers (Month 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'Newborn Daily Log'!$A$5:$A$34</f>
            </numRef>
          </cat>
          <val>
            <numRef>
              <f>'Newborn Daily Log'!$C$5:$C$34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'Newborn Daily Log'!$A$5:$A$34</f>
            </numRef>
          </cat>
          <val>
            <numRef>
              <f>'Newborn Daily Log'!$E$5:$E$34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9B8ED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20" customWidth="1" min="3" max="3"/>
  </cols>
  <sheetData>
    <row r="1" ht="32" customHeight="1">
      <c r="A1" s="1" t="inlineStr">
        <is>
          <t>🤱 Bump to Toddler Planner</t>
        </is>
      </c>
    </row>
    <row r="2" ht="20" customHeight="1">
      <c r="A2" s="2" t="inlineStr">
        <is>
          <t>Your complete pregnancy-to-age-2 care companion</t>
        </is>
      </c>
    </row>
    <row r="3">
      <c r="A3" s="3" t="inlineStr">
        <is>
          <t>How to use each tab</t>
        </is>
      </c>
      <c r="B3" t="inlineStr"/>
    </row>
    <row r="4">
      <c r="A4" t="inlineStr">
        <is>
          <t>Pregnancy Prep Checklist</t>
        </is>
      </c>
      <c r="B4" t="inlineStr">
        <is>
          <t>Trimester-by-trimester to-dos, from first appointment to hospital pre-registration.</t>
        </is>
      </c>
    </row>
    <row r="5">
      <c r="A5" t="inlineStr">
        <is>
          <t>Prenatal Health &amp; Nutrition Tracker</t>
        </is>
      </c>
      <c r="B5" t="inlineStr">
        <is>
          <t>Log weekly weight, blood pressure, vitamins and symptoms. Enter your due date once — dates fill in automatically.</t>
        </is>
      </c>
    </row>
    <row r="6">
      <c r="A6" t="inlineStr">
        <is>
          <t>Hospital Bag Checklist</t>
        </is>
      </c>
      <c r="B6" t="inlineStr">
        <is>
          <t>Everything to pack for mom, baby, and your support person.</t>
        </is>
      </c>
    </row>
    <row r="7">
      <c r="A7" t="inlineStr">
        <is>
          <t>Postpartum Mom Recovery Tracker</t>
        </is>
      </c>
      <c r="B7" t="inlineStr">
        <is>
          <t>Daily recovery log for the first 6 weeks after birth.</t>
        </is>
      </c>
    </row>
    <row r="8">
      <c r="A8" t="inlineStr">
        <is>
          <t>Newborn Daily Care Log (0-3mo)</t>
        </is>
      </c>
      <c r="B8" t="inlineStr">
        <is>
          <t>Feeding, diaper, sleep and temperature tracking for the newborn stage.</t>
        </is>
      </c>
    </row>
    <row r="9">
      <c r="A9" t="inlineStr">
        <is>
          <t>Baby Weekly Log (3-24mo)</t>
        </is>
      </c>
      <c r="B9" t="inlineStr">
        <is>
          <t>A lighter-touch weekly log once routines settle in.</t>
        </is>
      </c>
    </row>
    <row r="10">
      <c r="A10" t="inlineStr">
        <is>
          <t>Baby Growth Tracker</t>
        </is>
      </c>
      <c r="B10" t="inlineStr">
        <is>
          <t>Weight / height / head circumference at each well-check visit, plotted automatically.</t>
        </is>
      </c>
    </row>
    <row r="11">
      <c r="A11" t="inlineStr">
        <is>
          <t>Developmental Milestones</t>
        </is>
      </c>
      <c r="B11" t="inlineStr">
        <is>
          <t>General milestone reference by age band, 0-24 months.</t>
        </is>
      </c>
    </row>
    <row r="12">
      <c r="A12" t="inlineStr">
        <is>
          <t>Vaccination Schedule</t>
        </is>
      </c>
      <c r="B12" t="inlineStr">
        <is>
          <t>A general reference checklist — always confirm the real schedule with your pediatrician.</t>
        </is>
      </c>
    </row>
    <row r="13">
      <c r="A13" t="inlineStr">
        <is>
          <t>Dashboard</t>
        </is>
      </c>
      <c r="B13" t="inlineStr">
        <is>
          <t>A one-page snapshot of the charts above.</t>
        </is>
      </c>
    </row>
    <row r="14">
      <c r="A14" t="inlineStr"/>
      <c r="B14" t="inlineStr"/>
    </row>
    <row r="15">
      <c r="A15" s="3" t="inlineStr">
        <is>
          <t>Getting started</t>
        </is>
      </c>
      <c r="B15" t="inlineStr"/>
    </row>
    <row r="16">
      <c r="A16" t="inlineStr">
        <is>
          <t>1. Go to the Prenatal Health tab and enter your due date at the top.</t>
        </is>
      </c>
      <c r="B16" t="inlineStr"/>
    </row>
    <row r="17">
      <c r="A17" t="inlineStr">
        <is>
          <t>2. Go to the Newborn Daily Log / Baby Weekly Log tabs and enter baby’s birth date at the top once baby arrives.</t>
        </is>
      </c>
      <c r="B17" t="inlineStr"/>
    </row>
    <row r="18">
      <c r="A18" t="inlineStr">
        <is>
          <t>3. Check off items as you go.</t>
        </is>
      </c>
      <c r="B18" t="inlineStr"/>
    </row>
    <row r="19">
      <c r="A19" t="inlineStr">
        <is>
          <t>4. Duplicate the Newborn Daily Log or Baby Weekly Log sheet (right-click tab &gt; Duplicate) if you need more rows.</t>
        </is>
      </c>
      <c r="B19" t="inlineStr"/>
    </row>
    <row r="20">
      <c r="A20" t="inlineStr">
        <is>
          <t>5. Select each "Done"/"Achieved"/"Given" column and use Insert &gt; Checkbox to make them clickable.</t>
        </is>
      </c>
      <c r="B20" t="inlineStr"/>
    </row>
    <row r="22" ht="34" customHeight="1">
      <c r="A22" s="4" t="inlineStr">
        <is>
          <t>💡 This planner is for organizational purposes only and does not replace professional medical advice. Always consult your OB/GYN or pediatrician for anything health-related.</t>
        </is>
      </c>
    </row>
  </sheetData>
  <mergeCells count="3">
    <mergeCell ref="A1:C1"/>
    <mergeCell ref="A2:C2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AFC9"/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8" customWidth="1" min="3" max="3"/>
  </cols>
  <sheetData>
    <row r="1" ht="32" customHeight="1">
      <c r="A1" s="5" t="inlineStr">
        <is>
          <t>🤰 Pregnancy Prep Checklist</t>
        </is>
      </c>
    </row>
    <row r="2" ht="20" customHeight="1">
      <c r="A2" s="6" t="inlineStr">
        <is>
          <t>Trimester by trimester</t>
        </is>
      </c>
    </row>
    <row r="3">
      <c r="A3" s="7" t="inlineStr">
        <is>
          <t>Item / Task</t>
        </is>
      </c>
      <c r="B3" s="7" t="inlineStr">
        <is>
          <t>Done</t>
        </is>
      </c>
      <c r="C3" s="7" t="inlineStr">
        <is>
          <t>Notes</t>
        </is>
      </c>
    </row>
    <row r="4">
      <c r="A4" s="8" t="inlineStr">
        <is>
          <t>First Trimester (Weeks 1–13)</t>
        </is>
      </c>
    </row>
    <row r="5">
      <c r="A5" t="inlineStr">
        <is>
          <t>Confirm pregnancy &amp; schedule first prenatal visit</t>
        </is>
      </c>
      <c r="B5" t="b">
        <v>0</v>
      </c>
    </row>
    <row r="6">
      <c r="A6" t="inlineStr">
        <is>
          <t>Choose an OB/GYN or midwife</t>
        </is>
      </c>
      <c r="B6" t="b">
        <v>0</v>
      </c>
    </row>
    <row r="7">
      <c r="A7" t="inlineStr">
        <is>
          <t>Start prenatal vitamins (folic acid, iron, DHA)</t>
        </is>
      </c>
      <c r="B7" t="b">
        <v>0</v>
      </c>
    </row>
    <row r="8">
      <c r="A8" t="inlineStr">
        <is>
          <t>Share family medical history with your provider</t>
        </is>
      </c>
      <c r="B8" t="b">
        <v>0</v>
      </c>
    </row>
    <row r="9">
      <c r="A9" t="inlineStr">
        <is>
          <t>Cut out alcohol, smoking, and unpasteurized/raw foods</t>
        </is>
      </c>
      <c r="B9" t="b">
        <v>0</v>
      </c>
    </row>
    <row r="10">
      <c r="A10" t="inlineStr">
        <is>
          <t>Track early symptoms (nausea, fatigue) in the Prenatal Tracker tab</t>
        </is>
      </c>
      <c r="B10" t="b">
        <v>0</v>
      </c>
    </row>
    <row r="11">
      <c r="A11" t="inlineStr">
        <is>
          <t>Look into maternity leave / workplace policies</t>
        </is>
      </c>
      <c r="B11" t="b">
        <v>0</v>
      </c>
    </row>
    <row r="12">
      <c r="A12" t="inlineStr">
        <is>
          <t>Tell your employer (per your comfort level &amp; policy deadlines)</t>
        </is>
      </c>
      <c r="B12" t="b">
        <v>0</v>
      </c>
    </row>
    <row r="13">
      <c r="A13" s="9" t="inlineStr">
        <is>
          <t>Second Trimester (Weeks 14–27)</t>
        </is>
      </c>
    </row>
    <row r="14">
      <c r="A14" t="inlineStr">
        <is>
          <t>Schedule anatomy scan / mid-pregnancy ultrasound</t>
        </is>
      </c>
      <c r="B14" t="b">
        <v>0</v>
      </c>
    </row>
    <row r="15">
      <c r="A15" t="inlineStr">
        <is>
          <t>Complete glucose screening (gestational diabetes)</t>
        </is>
      </c>
      <c r="B15" t="b">
        <v>0</v>
      </c>
    </row>
    <row r="16">
      <c r="A16" t="inlineStr">
        <is>
          <t>Research childbirth / breastfeeding classes</t>
        </is>
      </c>
      <c r="B16" t="b">
        <v>0</v>
      </c>
    </row>
    <row r="17">
      <c r="A17" t="inlineStr">
        <is>
          <t>Start nursery planning</t>
        </is>
      </c>
      <c r="B17" t="b">
        <v>0</v>
      </c>
    </row>
    <row r="18">
      <c r="A18" t="inlineStr">
        <is>
          <t>Create a gift registry / plan a baby shower</t>
        </is>
      </c>
      <c r="B18" t="b">
        <v>0</v>
      </c>
    </row>
    <row r="19">
      <c r="A19" t="inlineStr">
        <is>
          <t>Buy maternity clothes</t>
        </is>
      </c>
      <c r="B19" t="b">
        <v>0</v>
      </c>
    </row>
    <row r="20">
      <c r="A20" t="inlineStr">
        <is>
          <t>Choose a pediatrician</t>
        </is>
      </c>
      <c r="B20" t="b">
        <v>0</v>
      </c>
    </row>
    <row r="21">
      <c r="A21" t="inlineStr">
        <is>
          <t>Consider cord blood banking (optional)</t>
        </is>
      </c>
      <c r="B21" t="b">
        <v>0</v>
      </c>
    </row>
    <row r="22">
      <c r="A22" t="inlineStr">
        <is>
          <t>Start a prenatal exercise / pelvic floor routine</t>
        </is>
      </c>
      <c r="B22" t="b">
        <v>0</v>
      </c>
    </row>
    <row r="23">
      <c r="A23" t="inlineStr">
        <is>
          <t>Draft a baby name shortlist</t>
        </is>
      </c>
      <c r="B23" t="b">
        <v>0</v>
      </c>
    </row>
    <row r="24">
      <c r="A24" s="10" t="inlineStr">
        <is>
          <t>Third Trimester (Weeks 28–40)</t>
        </is>
      </c>
    </row>
    <row r="25">
      <c r="A25" t="inlineStr">
        <is>
          <t>Pack hospital bag (see Hospital Bag Checklist tab)</t>
        </is>
      </c>
      <c r="B25" t="b">
        <v>0</v>
      </c>
    </row>
    <row r="26">
      <c r="A26" t="inlineStr">
        <is>
          <t>Install car seat and get it inspected</t>
        </is>
      </c>
      <c r="B26" t="b">
        <v>0</v>
      </c>
    </row>
    <row r="27">
      <c r="A27" t="inlineStr">
        <is>
          <t>Write and share your birth plan</t>
        </is>
      </c>
      <c r="B27" t="b">
        <v>0</v>
      </c>
    </row>
    <row r="28">
      <c r="A28" t="inlineStr">
        <is>
          <t>Pre-register at the hospital</t>
        </is>
      </c>
      <c r="B28" t="b">
        <v>0</v>
      </c>
    </row>
    <row r="29">
      <c r="A29" t="inlineStr">
        <is>
          <t>Finish nursery &amp; run a crib/room safety check</t>
        </is>
      </c>
      <c r="B29" t="b">
        <v>0</v>
      </c>
    </row>
    <row r="30">
      <c r="A30" t="inlineStr">
        <is>
          <t>Wash baby clothes &amp; linens</t>
        </is>
      </c>
      <c r="B30" t="b">
        <v>0</v>
      </c>
    </row>
    <row r="31">
      <c r="A31" t="inlineStr">
        <is>
          <t>Prep and freeze meals</t>
        </is>
      </c>
      <c r="B31" t="b">
        <v>0</v>
      </c>
    </row>
    <row r="32">
      <c r="A32" t="inlineStr">
        <is>
          <t>Arrange help for the first weeks postpartum</t>
        </is>
      </c>
      <c r="B32" t="b">
        <v>0</v>
      </c>
    </row>
    <row r="33">
      <c r="A33" t="inlineStr">
        <is>
          <t>Pack documents: ID, insurance card, birth plan copies</t>
        </is>
      </c>
      <c r="B33" t="b">
        <v>0</v>
      </c>
    </row>
    <row r="34">
      <c r="A34" t="inlineStr">
        <is>
          <t>Confirm postpartum support (doula, family, partner leave)</t>
        </is>
      </c>
      <c r="B34" t="b">
        <v>0</v>
      </c>
    </row>
    <row r="35">
      <c r="A35" t="inlineStr">
        <is>
          <t>Finalize maternity leave start date</t>
        </is>
      </c>
      <c r="B35" t="b">
        <v>0</v>
      </c>
    </row>
    <row r="37" ht="34" customHeight="1">
      <c r="A37" s="4" t="inlineStr">
        <is>
          <t>Tip: aim to have the hospital bag and car seat done by week 36 — babies don’t always wait for your due date.</t>
        </is>
      </c>
    </row>
  </sheetData>
  <mergeCells count="6">
    <mergeCell ref="A13:C13"/>
    <mergeCell ref="A1:C1"/>
    <mergeCell ref="A37:C37"/>
    <mergeCell ref="A4:C4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EE4C9"/>
    <outlinePr summaryBelow="1" summaryRight="1"/>
    <pageSetUpPr/>
  </sheetPr>
  <dimension ref="A1:K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</cols>
  <sheetData>
    <row r="1" ht="32" customHeight="1">
      <c r="A1" s="11" t="inlineStr">
        <is>
          <t>🥗 Prenatal Health &amp; Nutrition Tracker</t>
        </is>
      </c>
    </row>
    <row r="2" ht="20" customHeight="1">
      <c r="A2" s="12" t="inlineStr">
        <is>
          <t>Weekly log, weeks 1–40</t>
        </is>
      </c>
    </row>
    <row r="3">
      <c r="A3" s="13" t="inlineStr">
        <is>
          <t>Due date:</t>
        </is>
      </c>
      <c r="B3" s="14" t="inlineStr">
        <is>
          <t>2026-01-01</t>
        </is>
      </c>
      <c r="C3" s="15" t="inlineStr">
        <is>
          <t>⬅ Enter your due date once — the Date column below fills in automatically.</t>
        </is>
      </c>
    </row>
    <row r="4">
      <c r="A4" s="7" t="inlineStr">
        <is>
          <t>Week</t>
        </is>
      </c>
      <c r="B4" s="7" t="inlineStr">
        <is>
          <t>Date</t>
        </is>
      </c>
      <c r="C4" s="7" t="inlineStr">
        <is>
          <t>Weight</t>
        </is>
      </c>
      <c r="D4" s="7" t="inlineStr">
        <is>
          <t>Blood Pressure</t>
        </is>
      </c>
      <c r="E4" s="7" t="inlineStr">
        <is>
          <t>Swelling</t>
        </is>
      </c>
      <c r="F4" s="7" t="inlineStr">
        <is>
          <t>Felt Baby Move</t>
        </is>
      </c>
      <c r="G4" s="7" t="inlineStr">
        <is>
          <t>Prenatal Vitamin</t>
        </is>
      </c>
      <c r="H4" s="7" t="inlineStr">
        <is>
          <t>Water (cups)</t>
        </is>
      </c>
      <c r="I4" s="7" t="inlineStr">
        <is>
          <t>Iron-Rich Food</t>
        </is>
      </c>
      <c r="J4" s="7" t="inlineStr">
        <is>
          <t>Calcium-Rich Food</t>
        </is>
      </c>
      <c r="K4" s="7" t="inlineStr">
        <is>
          <t>Symptoms / Notes</t>
        </is>
      </c>
    </row>
    <row r="5">
      <c r="A5" t="n">
        <v>1</v>
      </c>
      <c r="B5" s="16">
        <f>$B$3-((40-1)*7)</f>
        <v/>
      </c>
      <c r="G5" t="b">
        <v>0</v>
      </c>
      <c r="I5" t="b">
        <v>0</v>
      </c>
      <c r="J5" t="b">
        <v>0</v>
      </c>
    </row>
    <row r="6">
      <c r="A6" t="n">
        <v>2</v>
      </c>
      <c r="B6" s="16">
        <f>$B$3-((40-2)*7)</f>
        <v/>
      </c>
      <c r="G6" t="b">
        <v>0</v>
      </c>
      <c r="I6" t="b">
        <v>0</v>
      </c>
      <c r="J6" t="b">
        <v>0</v>
      </c>
    </row>
    <row r="7">
      <c r="A7" t="n">
        <v>3</v>
      </c>
      <c r="B7" s="16">
        <f>$B$3-((40-3)*7)</f>
        <v/>
      </c>
      <c r="G7" t="b">
        <v>0</v>
      </c>
      <c r="I7" t="b">
        <v>0</v>
      </c>
      <c r="J7" t="b">
        <v>0</v>
      </c>
    </row>
    <row r="8">
      <c r="A8" t="n">
        <v>4</v>
      </c>
      <c r="B8" s="16">
        <f>$B$3-((40-4)*7)</f>
        <v/>
      </c>
      <c r="G8" t="b">
        <v>0</v>
      </c>
      <c r="I8" t="b">
        <v>0</v>
      </c>
      <c r="J8" t="b">
        <v>0</v>
      </c>
    </row>
    <row r="9">
      <c r="A9" t="n">
        <v>5</v>
      </c>
      <c r="B9" s="16">
        <f>$B$3-((40-5)*7)</f>
        <v/>
      </c>
      <c r="G9" t="b">
        <v>0</v>
      </c>
      <c r="I9" t="b">
        <v>0</v>
      </c>
      <c r="J9" t="b">
        <v>0</v>
      </c>
    </row>
    <row r="10">
      <c r="A10" t="n">
        <v>6</v>
      </c>
      <c r="B10" s="16">
        <f>$B$3-((40-6)*7)</f>
        <v/>
      </c>
      <c r="G10" t="b">
        <v>0</v>
      </c>
      <c r="I10" t="b">
        <v>0</v>
      </c>
      <c r="J10" t="b">
        <v>0</v>
      </c>
    </row>
    <row r="11">
      <c r="A11" t="n">
        <v>7</v>
      </c>
      <c r="B11" s="16">
        <f>$B$3-((40-7)*7)</f>
        <v/>
      </c>
      <c r="G11" t="b">
        <v>0</v>
      </c>
      <c r="I11" t="b">
        <v>0</v>
      </c>
      <c r="J11" t="b">
        <v>0</v>
      </c>
    </row>
    <row r="12">
      <c r="A12" t="n">
        <v>8</v>
      </c>
      <c r="B12" s="16">
        <f>$B$3-((40-8)*7)</f>
        <v/>
      </c>
      <c r="G12" t="b">
        <v>0</v>
      </c>
      <c r="I12" t="b">
        <v>0</v>
      </c>
      <c r="J12" t="b">
        <v>0</v>
      </c>
    </row>
    <row r="13">
      <c r="A13" t="n">
        <v>9</v>
      </c>
      <c r="B13" s="16">
        <f>$B$3-((40-9)*7)</f>
        <v/>
      </c>
      <c r="G13" t="b">
        <v>0</v>
      </c>
      <c r="I13" t="b">
        <v>0</v>
      </c>
      <c r="J13" t="b">
        <v>0</v>
      </c>
    </row>
    <row r="14">
      <c r="A14" t="n">
        <v>10</v>
      </c>
      <c r="B14" s="16">
        <f>$B$3-((40-10)*7)</f>
        <v/>
      </c>
      <c r="G14" t="b">
        <v>0</v>
      </c>
      <c r="I14" t="b">
        <v>0</v>
      </c>
      <c r="J14" t="b">
        <v>0</v>
      </c>
    </row>
    <row r="15">
      <c r="A15" t="n">
        <v>11</v>
      </c>
      <c r="B15" s="16">
        <f>$B$3-((40-11)*7)</f>
        <v/>
      </c>
      <c r="G15" t="b">
        <v>0</v>
      </c>
      <c r="I15" t="b">
        <v>0</v>
      </c>
      <c r="J15" t="b">
        <v>0</v>
      </c>
    </row>
    <row r="16">
      <c r="A16" t="n">
        <v>12</v>
      </c>
      <c r="B16" s="16">
        <f>$B$3-((40-12)*7)</f>
        <v/>
      </c>
      <c r="G16" t="b">
        <v>0</v>
      </c>
      <c r="I16" t="b">
        <v>0</v>
      </c>
      <c r="J16" t="b">
        <v>0</v>
      </c>
    </row>
    <row r="17">
      <c r="A17" t="n">
        <v>13</v>
      </c>
      <c r="B17" s="16">
        <f>$B$3-((40-13)*7)</f>
        <v/>
      </c>
      <c r="G17" t="b">
        <v>0</v>
      </c>
      <c r="I17" t="b">
        <v>0</v>
      </c>
      <c r="J17" t="b">
        <v>0</v>
      </c>
    </row>
    <row r="18">
      <c r="A18" t="n">
        <v>14</v>
      </c>
      <c r="B18" s="16">
        <f>$B$3-((40-14)*7)</f>
        <v/>
      </c>
      <c r="G18" t="b">
        <v>0</v>
      </c>
      <c r="I18" t="b">
        <v>0</v>
      </c>
      <c r="J18" t="b">
        <v>0</v>
      </c>
    </row>
    <row r="19">
      <c r="A19" t="n">
        <v>15</v>
      </c>
      <c r="B19" s="16">
        <f>$B$3-((40-15)*7)</f>
        <v/>
      </c>
      <c r="G19" t="b">
        <v>0</v>
      </c>
      <c r="I19" t="b">
        <v>0</v>
      </c>
      <c r="J19" t="b">
        <v>0</v>
      </c>
    </row>
    <row r="20">
      <c r="A20" t="n">
        <v>16</v>
      </c>
      <c r="B20" s="16">
        <f>$B$3-((40-16)*7)</f>
        <v/>
      </c>
      <c r="G20" t="b">
        <v>0</v>
      </c>
      <c r="I20" t="b">
        <v>0</v>
      </c>
      <c r="J20" t="b">
        <v>0</v>
      </c>
    </row>
    <row r="21">
      <c r="A21" t="n">
        <v>17</v>
      </c>
      <c r="B21" s="16">
        <f>$B$3-((40-17)*7)</f>
        <v/>
      </c>
      <c r="G21" t="b">
        <v>0</v>
      </c>
      <c r="I21" t="b">
        <v>0</v>
      </c>
      <c r="J21" t="b">
        <v>0</v>
      </c>
    </row>
    <row r="22">
      <c r="A22" t="n">
        <v>18</v>
      </c>
      <c r="B22" s="16">
        <f>$B$3-((40-18)*7)</f>
        <v/>
      </c>
      <c r="G22" t="b">
        <v>0</v>
      </c>
      <c r="I22" t="b">
        <v>0</v>
      </c>
      <c r="J22" t="b">
        <v>0</v>
      </c>
    </row>
    <row r="23">
      <c r="A23" t="n">
        <v>19</v>
      </c>
      <c r="B23" s="16">
        <f>$B$3-((40-19)*7)</f>
        <v/>
      </c>
      <c r="G23" t="b">
        <v>0</v>
      </c>
      <c r="I23" t="b">
        <v>0</v>
      </c>
      <c r="J23" t="b">
        <v>0</v>
      </c>
    </row>
    <row r="24">
      <c r="A24" t="n">
        <v>20</v>
      </c>
      <c r="B24" s="16">
        <f>$B$3-((40-20)*7)</f>
        <v/>
      </c>
      <c r="G24" t="b">
        <v>0</v>
      </c>
      <c r="I24" t="b">
        <v>0</v>
      </c>
      <c r="J24" t="b">
        <v>0</v>
      </c>
    </row>
    <row r="25">
      <c r="A25" t="n">
        <v>21</v>
      </c>
      <c r="B25" s="16">
        <f>$B$3-((40-21)*7)</f>
        <v/>
      </c>
      <c r="G25" t="b">
        <v>0</v>
      </c>
      <c r="I25" t="b">
        <v>0</v>
      </c>
      <c r="J25" t="b">
        <v>0</v>
      </c>
    </row>
    <row r="26">
      <c r="A26" t="n">
        <v>22</v>
      </c>
      <c r="B26" s="16">
        <f>$B$3-((40-22)*7)</f>
        <v/>
      </c>
      <c r="G26" t="b">
        <v>0</v>
      </c>
      <c r="I26" t="b">
        <v>0</v>
      </c>
      <c r="J26" t="b">
        <v>0</v>
      </c>
    </row>
    <row r="27">
      <c r="A27" t="n">
        <v>23</v>
      </c>
      <c r="B27" s="16">
        <f>$B$3-((40-23)*7)</f>
        <v/>
      </c>
      <c r="G27" t="b">
        <v>0</v>
      </c>
      <c r="I27" t="b">
        <v>0</v>
      </c>
      <c r="J27" t="b">
        <v>0</v>
      </c>
    </row>
    <row r="28">
      <c r="A28" t="n">
        <v>24</v>
      </c>
      <c r="B28" s="16">
        <f>$B$3-((40-24)*7)</f>
        <v/>
      </c>
      <c r="G28" t="b">
        <v>0</v>
      </c>
      <c r="I28" t="b">
        <v>0</v>
      </c>
      <c r="J28" t="b">
        <v>0</v>
      </c>
    </row>
    <row r="29">
      <c r="A29" t="n">
        <v>25</v>
      </c>
      <c r="B29" s="16">
        <f>$B$3-((40-25)*7)</f>
        <v/>
      </c>
      <c r="G29" t="b">
        <v>0</v>
      </c>
      <c r="I29" t="b">
        <v>0</v>
      </c>
      <c r="J29" t="b">
        <v>0</v>
      </c>
    </row>
    <row r="30">
      <c r="A30" t="n">
        <v>26</v>
      </c>
      <c r="B30" s="16">
        <f>$B$3-((40-26)*7)</f>
        <v/>
      </c>
      <c r="G30" t="b">
        <v>0</v>
      </c>
      <c r="I30" t="b">
        <v>0</v>
      </c>
      <c r="J30" t="b">
        <v>0</v>
      </c>
    </row>
    <row r="31">
      <c r="A31" t="n">
        <v>27</v>
      </c>
      <c r="B31" s="16">
        <f>$B$3-((40-27)*7)</f>
        <v/>
      </c>
      <c r="G31" t="b">
        <v>0</v>
      </c>
      <c r="I31" t="b">
        <v>0</v>
      </c>
      <c r="J31" t="b">
        <v>0</v>
      </c>
    </row>
    <row r="32">
      <c r="A32" t="n">
        <v>28</v>
      </c>
      <c r="B32" s="16">
        <f>$B$3-((40-28)*7)</f>
        <v/>
      </c>
      <c r="G32" t="b">
        <v>0</v>
      </c>
      <c r="I32" t="b">
        <v>0</v>
      </c>
      <c r="J32" t="b">
        <v>0</v>
      </c>
    </row>
    <row r="33">
      <c r="A33" t="n">
        <v>29</v>
      </c>
      <c r="B33" s="16">
        <f>$B$3-((40-29)*7)</f>
        <v/>
      </c>
      <c r="G33" t="b">
        <v>0</v>
      </c>
      <c r="I33" t="b">
        <v>0</v>
      </c>
      <c r="J33" t="b">
        <v>0</v>
      </c>
    </row>
    <row r="34">
      <c r="A34" t="n">
        <v>30</v>
      </c>
      <c r="B34" s="16">
        <f>$B$3-((40-30)*7)</f>
        <v/>
      </c>
      <c r="G34" t="b">
        <v>0</v>
      </c>
      <c r="I34" t="b">
        <v>0</v>
      </c>
      <c r="J34" t="b">
        <v>0</v>
      </c>
    </row>
    <row r="35">
      <c r="A35" t="n">
        <v>31</v>
      </c>
      <c r="B35" s="16">
        <f>$B$3-((40-31)*7)</f>
        <v/>
      </c>
      <c r="G35" t="b">
        <v>0</v>
      </c>
      <c r="I35" t="b">
        <v>0</v>
      </c>
      <c r="J35" t="b">
        <v>0</v>
      </c>
    </row>
    <row r="36">
      <c r="A36" t="n">
        <v>32</v>
      </c>
      <c r="B36" s="16">
        <f>$B$3-((40-32)*7)</f>
        <v/>
      </c>
      <c r="G36" t="b">
        <v>0</v>
      </c>
      <c r="I36" t="b">
        <v>0</v>
      </c>
      <c r="J36" t="b">
        <v>0</v>
      </c>
    </row>
    <row r="37">
      <c r="A37" t="n">
        <v>33</v>
      </c>
      <c r="B37" s="16">
        <f>$B$3-((40-33)*7)</f>
        <v/>
      </c>
      <c r="G37" t="b">
        <v>0</v>
      </c>
      <c r="I37" t="b">
        <v>0</v>
      </c>
      <c r="J37" t="b">
        <v>0</v>
      </c>
    </row>
    <row r="38">
      <c r="A38" t="n">
        <v>34</v>
      </c>
      <c r="B38" s="16">
        <f>$B$3-((40-34)*7)</f>
        <v/>
      </c>
      <c r="G38" t="b">
        <v>0</v>
      </c>
      <c r="I38" t="b">
        <v>0</v>
      </c>
      <c r="J38" t="b">
        <v>0</v>
      </c>
    </row>
    <row r="39">
      <c r="A39" t="n">
        <v>35</v>
      </c>
      <c r="B39" s="16">
        <f>$B$3-((40-35)*7)</f>
        <v/>
      </c>
      <c r="G39" t="b">
        <v>0</v>
      </c>
      <c r="I39" t="b">
        <v>0</v>
      </c>
      <c r="J39" t="b">
        <v>0</v>
      </c>
    </row>
    <row r="40">
      <c r="A40" t="n">
        <v>36</v>
      </c>
      <c r="B40" s="16">
        <f>$B$3-((40-36)*7)</f>
        <v/>
      </c>
      <c r="G40" t="b">
        <v>0</v>
      </c>
      <c r="I40" t="b">
        <v>0</v>
      </c>
      <c r="J40" t="b">
        <v>0</v>
      </c>
    </row>
    <row r="41">
      <c r="A41" t="n">
        <v>37</v>
      </c>
      <c r="B41" s="16">
        <f>$B$3-((40-37)*7)</f>
        <v/>
      </c>
      <c r="G41" t="b">
        <v>0</v>
      </c>
      <c r="I41" t="b">
        <v>0</v>
      </c>
      <c r="J41" t="b">
        <v>0</v>
      </c>
    </row>
    <row r="42">
      <c r="A42" t="n">
        <v>38</v>
      </c>
      <c r="B42" s="16">
        <f>$B$3-((40-38)*7)</f>
        <v/>
      </c>
      <c r="G42" t="b">
        <v>0</v>
      </c>
      <c r="I42" t="b">
        <v>0</v>
      </c>
      <c r="J42" t="b">
        <v>0</v>
      </c>
    </row>
    <row r="43">
      <c r="A43" t="n">
        <v>39</v>
      </c>
      <c r="B43" s="16">
        <f>$B$3-((40-39)*7)</f>
        <v/>
      </c>
      <c r="G43" t="b">
        <v>0</v>
      </c>
      <c r="I43" t="b">
        <v>0</v>
      </c>
      <c r="J43" t="b">
        <v>0</v>
      </c>
    </row>
    <row r="44">
      <c r="A44" t="n">
        <v>40</v>
      </c>
      <c r="B44" s="16">
        <f>$B$3-((40-40)*7)</f>
        <v/>
      </c>
      <c r="G44" t="b">
        <v>0</v>
      </c>
      <c r="I44" t="b">
        <v>0</v>
      </c>
      <c r="J44" t="b">
        <v>0</v>
      </c>
    </row>
    <row r="46" ht="34" customHeight="1">
      <c r="A46" s="4" t="inlineStr">
        <is>
          <t>⚠️ Call your provider right away for: heavy bleeding, severe headache, sudden swelling, reduced fetal movement, or fever.</t>
        </is>
      </c>
    </row>
  </sheetData>
  <mergeCells count="4">
    <mergeCell ref="A2:K2"/>
    <mergeCell ref="A1:K1"/>
    <mergeCell ref="C3:K3"/>
    <mergeCell ref="A46:K46"/>
  </mergeCells>
  <dataValidations count="1">
    <dataValidation sqref="E5:F4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FD3EF"/>
    <outlinePr summaryBelow="1" summaryRight="1"/>
    <pageSetUpPr/>
  </sheetPr>
  <dimension ref="A1:C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8" customWidth="1" min="3" max="3"/>
  </cols>
  <sheetData>
    <row r="1" ht="32" customHeight="1">
      <c r="A1" s="17" t="inlineStr">
        <is>
          <t>🎒 Hospital Bag &amp; Newborn Essentials</t>
        </is>
      </c>
    </row>
    <row r="2" ht="20" customHeight="1">
      <c r="A2" s="18" t="inlineStr">
        <is>
          <t>Pack by week 36</t>
        </is>
      </c>
    </row>
    <row r="3">
      <c r="A3" s="7" t="inlineStr">
        <is>
          <t>Item / Task</t>
        </is>
      </c>
      <c r="B3" s="7" t="inlineStr">
        <is>
          <t>Done</t>
        </is>
      </c>
      <c r="C3" s="7" t="inlineStr">
        <is>
          <t>Notes</t>
        </is>
      </c>
    </row>
    <row r="4">
      <c r="A4" s="8" t="inlineStr">
        <is>
          <t>For Mom</t>
        </is>
      </c>
    </row>
    <row r="5">
      <c r="A5" t="inlineStr">
        <is>
          <t>Comfortable going-home outfit</t>
        </is>
      </c>
      <c r="B5" t="b">
        <v>0</v>
      </c>
    </row>
    <row r="6">
      <c r="A6" t="inlineStr">
        <is>
          <t>Nursing bra &amp; nursing pads</t>
        </is>
      </c>
      <c r="B6" t="b">
        <v>0</v>
      </c>
    </row>
    <row r="7">
      <c r="A7" t="inlineStr">
        <is>
          <t>Maternity/postpartum pads</t>
        </is>
      </c>
      <c r="B7" t="b">
        <v>0</v>
      </c>
    </row>
    <row r="8">
      <c r="A8" t="inlineStr">
        <is>
          <t>Toiletries &amp; travel-size essentials</t>
        </is>
      </c>
      <c r="B8" t="b">
        <v>0</v>
      </c>
    </row>
    <row r="9">
      <c r="A9" t="inlineStr">
        <is>
          <t>Phone charger (long cord)</t>
        </is>
      </c>
      <c r="B9" t="b">
        <v>0</v>
      </c>
    </row>
    <row r="10">
      <c r="A10" t="inlineStr">
        <is>
          <t>Slippers &amp; robe</t>
        </is>
      </c>
      <c r="B10" t="b">
        <v>0</v>
      </c>
    </row>
    <row r="11">
      <c r="A11" t="inlineStr">
        <is>
          <t>Snacks &amp; drinks</t>
        </is>
      </c>
      <c r="B11" t="b">
        <v>0</v>
      </c>
    </row>
    <row r="12">
      <c r="A12" t="inlineStr">
        <is>
          <t>Nipple cream</t>
        </is>
      </c>
      <c r="B12" t="b">
        <v>0</v>
      </c>
    </row>
    <row r="13">
      <c r="A13" t="inlineStr">
        <is>
          <t>Going-home outfit (loose, comfy)</t>
        </is>
      </c>
      <c r="B13" t="b">
        <v>0</v>
      </c>
    </row>
    <row r="14">
      <c r="A14" s="9" t="inlineStr">
        <is>
          <t>For Baby</t>
        </is>
      </c>
    </row>
    <row r="15">
      <c r="A15" t="inlineStr">
        <is>
          <t>Going-home outfits (2 sizes, newborn + 0-3mo)</t>
        </is>
      </c>
      <c r="B15" t="b">
        <v>0</v>
      </c>
    </row>
    <row r="16">
      <c r="A16" t="inlineStr">
        <is>
          <t>Swaddle blankets</t>
        </is>
      </c>
      <c r="B16" t="b">
        <v>0</v>
      </c>
    </row>
    <row r="17">
      <c r="A17" t="inlineStr">
        <is>
          <t>Newborn diapers</t>
        </is>
      </c>
      <c r="B17" t="b">
        <v>0</v>
      </c>
    </row>
    <row r="18">
      <c r="A18" t="inlineStr">
        <is>
          <t>Car seat installed &amp; inspected</t>
        </is>
      </c>
      <c r="B18" t="b">
        <v>0</v>
      </c>
    </row>
    <row r="19">
      <c r="A19" t="inlineStr">
        <is>
          <t>Hat &amp; mittens</t>
        </is>
      </c>
      <c r="B19" t="b">
        <v>0</v>
      </c>
    </row>
    <row r="20">
      <c r="A20" t="inlineStr">
        <is>
          <t>Burp cloths</t>
        </is>
      </c>
      <c r="B20" t="b">
        <v>0</v>
      </c>
    </row>
    <row r="21">
      <c r="A21" s="10" t="inlineStr">
        <is>
          <t>For Partner / Support Person</t>
        </is>
      </c>
    </row>
    <row r="22">
      <c r="A22" t="inlineStr">
        <is>
          <t>Change of clothes</t>
        </is>
      </c>
      <c r="B22" t="b">
        <v>0</v>
      </c>
    </row>
    <row r="23">
      <c r="A23" t="inlineStr">
        <is>
          <t>Snacks</t>
        </is>
      </c>
      <c r="B23" t="b">
        <v>0</v>
      </c>
    </row>
    <row r="24">
      <c r="A24" t="inlineStr">
        <is>
          <t>Entertainment (book, headphones)</t>
        </is>
      </c>
      <c r="B24" t="b">
        <v>0</v>
      </c>
    </row>
    <row r="25">
      <c r="A25" t="inlineStr">
        <is>
          <t>Camera / charger</t>
        </is>
      </c>
      <c r="B25" t="b">
        <v>0</v>
      </c>
    </row>
    <row r="26">
      <c r="A26" t="inlineStr">
        <is>
          <t>Pillow</t>
        </is>
      </c>
      <c r="B26" t="b">
        <v>0</v>
      </c>
    </row>
    <row r="27">
      <c r="A27" s="19" t="inlineStr">
        <is>
          <t>Documents &amp; Extras</t>
        </is>
      </c>
    </row>
    <row r="28">
      <c r="A28" t="inlineStr">
        <is>
          <t>Photo ID</t>
        </is>
      </c>
      <c r="B28" t="b">
        <v>0</v>
      </c>
    </row>
    <row r="29">
      <c r="A29" t="inlineStr">
        <is>
          <t>Insurance card</t>
        </is>
      </c>
      <c r="B29" t="b">
        <v>0</v>
      </c>
    </row>
    <row r="30">
      <c r="A30" t="inlineStr">
        <is>
          <t>Hospital pre-registration forms</t>
        </is>
      </c>
      <c r="B30" t="b">
        <v>0</v>
      </c>
    </row>
    <row r="31">
      <c r="A31" t="inlineStr">
        <is>
          <t>Printed birth plan copies</t>
        </is>
      </c>
      <c r="B31" t="b">
        <v>0</v>
      </c>
    </row>
    <row r="32">
      <c r="A32" t="inlineStr">
        <is>
          <t>Pediatrician contact info</t>
        </is>
      </c>
      <c r="B32" t="b">
        <v>0</v>
      </c>
    </row>
    <row r="33">
      <c r="A33" t="inlineStr">
        <is>
          <t>Car seat manual (for hospital staff check)</t>
        </is>
      </c>
      <c r="B33" t="b">
        <v>0</v>
      </c>
    </row>
    <row r="35" ht="34" customHeight="1">
      <c r="A35" s="4" t="inlineStr">
        <is>
          <t>Tip: keep this bag by the door from week 36 on — check it off as you pack, not as you leave.</t>
        </is>
      </c>
    </row>
  </sheetData>
  <mergeCells count="7">
    <mergeCell ref="A1:C1"/>
    <mergeCell ref="A14:C14"/>
    <mergeCell ref="A27:C27"/>
    <mergeCell ref="A21:C21"/>
    <mergeCell ref="A35:C35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AFC9"/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2" customWidth="1" min="10" max="10"/>
  </cols>
  <sheetData>
    <row r="1" ht="32" customHeight="1">
      <c r="A1" s="5" t="inlineStr">
        <is>
          <t>💗 Postpartum Mom Recovery Tracker</t>
        </is>
      </c>
    </row>
    <row r="2" ht="20" customHeight="1">
      <c r="A2" s="6" t="inlineStr">
        <is>
          <t>Daily log, first 6 weeks</t>
        </is>
      </c>
    </row>
    <row r="3">
      <c r="A3" s="13" t="inlineStr">
        <is>
          <t>Birth date:</t>
        </is>
      </c>
      <c r="B3" s="14" t="inlineStr">
        <is>
          <t>2026-01-01</t>
        </is>
      </c>
      <c r="C3" s="15" t="inlineStr">
        <is>
          <t>⬅ Enter baby’s birth date once — dates below fill in automatically.</t>
        </is>
      </c>
    </row>
    <row r="4">
      <c r="A4" s="7" t="inlineStr">
        <is>
          <t>Day</t>
        </is>
      </c>
      <c r="B4" s="7" t="inlineStr">
        <is>
          <t>Date</t>
        </is>
      </c>
      <c r="C4" s="7" t="inlineStr">
        <is>
          <t>Bleeding / Lochia</t>
        </is>
      </c>
      <c r="D4" s="7" t="inlineStr">
        <is>
          <t>Pain Level (1-5)</t>
        </is>
      </c>
      <c r="E4" s="7" t="inlineStr">
        <is>
          <t>Temperature (°F)</t>
        </is>
      </c>
      <c r="F4" s="7" t="inlineStr">
        <is>
          <t>Mood</t>
        </is>
      </c>
      <c r="G4" s="7" t="inlineStr">
        <is>
          <t>Sleep (hrs)</t>
        </is>
      </c>
      <c r="H4" s="7" t="inlineStr">
        <is>
          <t>Feeding Method</t>
        </is>
      </c>
      <c r="I4" s="7" t="inlineStr">
        <is>
          <t>Rest Taken</t>
        </is>
      </c>
      <c r="J4" s="7" t="inlineStr">
        <is>
          <t>Notes</t>
        </is>
      </c>
    </row>
    <row r="5">
      <c r="A5" t="n">
        <v>1</v>
      </c>
      <c r="B5" s="16">
        <f>$B$3+(1-1)</f>
        <v/>
      </c>
      <c r="I5" t="b">
        <v>0</v>
      </c>
    </row>
    <row r="6">
      <c r="A6" t="n">
        <v>2</v>
      </c>
      <c r="B6" s="16">
        <f>$B$3+(2-1)</f>
        <v/>
      </c>
      <c r="I6" t="b">
        <v>0</v>
      </c>
    </row>
    <row r="7">
      <c r="A7" t="n">
        <v>3</v>
      </c>
      <c r="B7" s="16">
        <f>$B$3+(3-1)</f>
        <v/>
      </c>
      <c r="I7" t="b">
        <v>0</v>
      </c>
    </row>
    <row r="8">
      <c r="A8" t="n">
        <v>4</v>
      </c>
      <c r="B8" s="16">
        <f>$B$3+(4-1)</f>
        <v/>
      </c>
      <c r="I8" t="b">
        <v>0</v>
      </c>
    </row>
    <row r="9">
      <c r="A9" t="n">
        <v>5</v>
      </c>
      <c r="B9" s="16">
        <f>$B$3+(5-1)</f>
        <v/>
      </c>
      <c r="I9" t="b">
        <v>0</v>
      </c>
    </row>
    <row r="10">
      <c r="A10" t="n">
        <v>6</v>
      </c>
      <c r="B10" s="16">
        <f>$B$3+(6-1)</f>
        <v/>
      </c>
      <c r="I10" t="b">
        <v>0</v>
      </c>
    </row>
    <row r="11">
      <c r="A11" t="n">
        <v>7</v>
      </c>
      <c r="B11" s="16">
        <f>$B$3+(7-1)</f>
        <v/>
      </c>
      <c r="I11" t="b">
        <v>0</v>
      </c>
    </row>
    <row r="12">
      <c r="A12" t="n">
        <v>8</v>
      </c>
      <c r="B12" s="16">
        <f>$B$3+(8-1)</f>
        <v/>
      </c>
      <c r="I12" t="b">
        <v>0</v>
      </c>
    </row>
    <row r="13">
      <c r="A13" t="n">
        <v>9</v>
      </c>
      <c r="B13" s="16">
        <f>$B$3+(9-1)</f>
        <v/>
      </c>
      <c r="I13" t="b">
        <v>0</v>
      </c>
    </row>
    <row r="14">
      <c r="A14" t="n">
        <v>10</v>
      </c>
      <c r="B14" s="16">
        <f>$B$3+(10-1)</f>
        <v/>
      </c>
      <c r="I14" t="b">
        <v>0</v>
      </c>
    </row>
    <row r="15">
      <c r="A15" t="n">
        <v>11</v>
      </c>
      <c r="B15" s="16">
        <f>$B$3+(11-1)</f>
        <v/>
      </c>
      <c r="I15" t="b">
        <v>0</v>
      </c>
    </row>
    <row r="16">
      <c r="A16" t="n">
        <v>12</v>
      </c>
      <c r="B16" s="16">
        <f>$B$3+(12-1)</f>
        <v/>
      </c>
      <c r="I16" t="b">
        <v>0</v>
      </c>
    </row>
    <row r="17">
      <c r="A17" t="n">
        <v>13</v>
      </c>
      <c r="B17" s="16">
        <f>$B$3+(13-1)</f>
        <v/>
      </c>
      <c r="I17" t="b">
        <v>0</v>
      </c>
    </row>
    <row r="18">
      <c r="A18" t="n">
        <v>14</v>
      </c>
      <c r="B18" s="16">
        <f>$B$3+(14-1)</f>
        <v/>
      </c>
      <c r="I18" t="b">
        <v>0</v>
      </c>
    </row>
    <row r="19">
      <c r="A19" t="n">
        <v>15</v>
      </c>
      <c r="B19" s="16">
        <f>$B$3+(15-1)</f>
        <v/>
      </c>
      <c r="I19" t="b">
        <v>0</v>
      </c>
    </row>
    <row r="20">
      <c r="A20" t="n">
        <v>16</v>
      </c>
      <c r="B20" s="16">
        <f>$B$3+(16-1)</f>
        <v/>
      </c>
      <c r="I20" t="b">
        <v>0</v>
      </c>
    </row>
    <row r="21">
      <c r="A21" t="n">
        <v>17</v>
      </c>
      <c r="B21" s="16">
        <f>$B$3+(17-1)</f>
        <v/>
      </c>
      <c r="I21" t="b">
        <v>0</v>
      </c>
    </row>
    <row r="22">
      <c r="A22" t="n">
        <v>18</v>
      </c>
      <c r="B22" s="16">
        <f>$B$3+(18-1)</f>
        <v/>
      </c>
      <c r="I22" t="b">
        <v>0</v>
      </c>
    </row>
    <row r="23">
      <c r="A23" t="n">
        <v>19</v>
      </c>
      <c r="B23" s="16">
        <f>$B$3+(19-1)</f>
        <v/>
      </c>
      <c r="I23" t="b">
        <v>0</v>
      </c>
    </row>
    <row r="24">
      <c r="A24" t="n">
        <v>20</v>
      </c>
      <c r="B24" s="16">
        <f>$B$3+(20-1)</f>
        <v/>
      </c>
      <c r="I24" t="b">
        <v>0</v>
      </c>
    </row>
    <row r="25">
      <c r="A25" t="n">
        <v>21</v>
      </c>
      <c r="B25" s="16">
        <f>$B$3+(21-1)</f>
        <v/>
      </c>
      <c r="I25" t="b">
        <v>0</v>
      </c>
    </row>
    <row r="26">
      <c r="A26" t="n">
        <v>22</v>
      </c>
      <c r="B26" s="16">
        <f>$B$3+(22-1)</f>
        <v/>
      </c>
      <c r="I26" t="b">
        <v>0</v>
      </c>
    </row>
    <row r="27">
      <c r="A27" t="n">
        <v>23</v>
      </c>
      <c r="B27" s="16">
        <f>$B$3+(23-1)</f>
        <v/>
      </c>
      <c r="I27" t="b">
        <v>0</v>
      </c>
    </row>
    <row r="28">
      <c r="A28" t="n">
        <v>24</v>
      </c>
      <c r="B28" s="16">
        <f>$B$3+(24-1)</f>
        <v/>
      </c>
      <c r="I28" t="b">
        <v>0</v>
      </c>
    </row>
    <row r="29">
      <c r="A29" t="n">
        <v>25</v>
      </c>
      <c r="B29" s="16">
        <f>$B$3+(25-1)</f>
        <v/>
      </c>
      <c r="I29" t="b">
        <v>0</v>
      </c>
    </row>
    <row r="30">
      <c r="A30" t="n">
        <v>26</v>
      </c>
      <c r="B30" s="16">
        <f>$B$3+(26-1)</f>
        <v/>
      </c>
      <c r="I30" t="b">
        <v>0</v>
      </c>
    </row>
    <row r="31">
      <c r="A31" t="n">
        <v>27</v>
      </c>
      <c r="B31" s="16">
        <f>$B$3+(27-1)</f>
        <v/>
      </c>
      <c r="I31" t="b">
        <v>0</v>
      </c>
    </row>
    <row r="32">
      <c r="A32" t="n">
        <v>28</v>
      </c>
      <c r="B32" s="16">
        <f>$B$3+(28-1)</f>
        <v/>
      </c>
      <c r="I32" t="b">
        <v>0</v>
      </c>
    </row>
    <row r="33">
      <c r="A33" t="n">
        <v>29</v>
      </c>
      <c r="B33" s="16">
        <f>$B$3+(29-1)</f>
        <v/>
      </c>
      <c r="I33" t="b">
        <v>0</v>
      </c>
    </row>
    <row r="34">
      <c r="A34" t="n">
        <v>30</v>
      </c>
      <c r="B34" s="16">
        <f>$B$3+(30-1)</f>
        <v/>
      </c>
      <c r="I34" t="b">
        <v>0</v>
      </c>
    </row>
    <row r="35">
      <c r="A35" t="n">
        <v>31</v>
      </c>
      <c r="B35" s="16">
        <f>$B$3+(31-1)</f>
        <v/>
      </c>
      <c r="I35" t="b">
        <v>0</v>
      </c>
    </row>
    <row r="36">
      <c r="A36" t="n">
        <v>32</v>
      </c>
      <c r="B36" s="16">
        <f>$B$3+(32-1)</f>
        <v/>
      </c>
      <c r="I36" t="b">
        <v>0</v>
      </c>
    </row>
    <row r="37">
      <c r="A37" t="n">
        <v>33</v>
      </c>
      <c r="B37" s="16">
        <f>$B$3+(33-1)</f>
        <v/>
      </c>
      <c r="I37" t="b">
        <v>0</v>
      </c>
    </row>
    <row r="38">
      <c r="A38" t="n">
        <v>34</v>
      </c>
      <c r="B38" s="16">
        <f>$B$3+(34-1)</f>
        <v/>
      </c>
      <c r="I38" t="b">
        <v>0</v>
      </c>
    </row>
    <row r="39">
      <c r="A39" t="n">
        <v>35</v>
      </c>
      <c r="B39" s="16">
        <f>$B$3+(35-1)</f>
        <v/>
      </c>
      <c r="I39" t="b">
        <v>0</v>
      </c>
    </row>
    <row r="40">
      <c r="A40" t="n">
        <v>36</v>
      </c>
      <c r="B40" s="16">
        <f>$B$3+(36-1)</f>
        <v/>
      </c>
      <c r="I40" t="b">
        <v>0</v>
      </c>
    </row>
    <row r="41">
      <c r="A41" t="n">
        <v>37</v>
      </c>
      <c r="B41" s="16">
        <f>$B$3+(37-1)</f>
        <v/>
      </c>
      <c r="I41" t="b">
        <v>0</v>
      </c>
    </row>
    <row r="42">
      <c r="A42" t="n">
        <v>38</v>
      </c>
      <c r="B42" s="16">
        <f>$B$3+(38-1)</f>
        <v/>
      </c>
      <c r="I42" t="b">
        <v>0</v>
      </c>
    </row>
    <row r="43">
      <c r="A43" t="n">
        <v>39</v>
      </c>
      <c r="B43" s="16">
        <f>$B$3+(39-1)</f>
        <v/>
      </c>
      <c r="I43" t="b">
        <v>0</v>
      </c>
    </row>
    <row r="44">
      <c r="A44" t="n">
        <v>40</v>
      </c>
      <c r="B44" s="16">
        <f>$B$3+(40-1)</f>
        <v/>
      </c>
      <c r="I44" t="b">
        <v>0</v>
      </c>
    </row>
    <row r="45">
      <c r="A45" t="n">
        <v>41</v>
      </c>
      <c r="B45" s="16">
        <f>$B$3+(41-1)</f>
        <v/>
      </c>
      <c r="I45" t="b">
        <v>0</v>
      </c>
    </row>
    <row r="46">
      <c r="A46" t="n">
        <v>42</v>
      </c>
      <c r="B46" s="16">
        <f>$B$3+(42-1)</f>
        <v/>
      </c>
      <c r="I46" t="b">
        <v>0</v>
      </c>
    </row>
    <row r="48" ht="34" customHeight="1">
      <c r="A48" s="4" t="inlineStr">
        <is>
          <t>⚠️ Contact your provider right away for: fever ≥100.4°F, heavy bleeding, severe pain, or persistent low mood — you deserve support, not just survival.</t>
        </is>
      </c>
    </row>
  </sheetData>
  <mergeCells count="4">
    <mergeCell ref="A1:J1"/>
    <mergeCell ref="C3:J3"/>
    <mergeCell ref="A48:J48"/>
    <mergeCell ref="A2:J2"/>
  </mergeCells>
  <conditionalFormatting sqref="E5:E46">
    <cfRule type="cellIs" priority="1" operator="greaterThanOrEqual" dxfId="0">
      <formula>100.4</formula>
    </cfRule>
  </conditionalFormatting>
  <conditionalFormatting sqref="F5:F46">
    <cfRule type="expression" priority="2" dxfId="0">
      <formula>F5="Struggling"</formula>
    </cfRule>
  </conditionalFormatting>
  <dataValidations count="4">
    <dataValidation sqref="C5:C46" showDropDown="0" showInputMessage="0" showErrorMessage="0" allowBlank="1" type="list">
      <formula1>"Heavy,Moderate,Light,Spotting,None"</formula1>
    </dataValidation>
    <dataValidation sqref="D5:D46" showDropDown="0" showInputMessage="0" showErrorMessage="0" allowBlank="1" type="list">
      <formula1>"1,2,3,4,5"</formula1>
    </dataValidation>
    <dataValidation sqref="F5:F46" showDropDown="0" showInputMessage="0" showErrorMessage="0" allowBlank="1" type="list">
      <formula1>"Great,OK,Low,Struggling"</formula1>
    </dataValidation>
    <dataValidation sqref="H5:H46" showDropDown="0" showInputMessage="0" showErrorMessage="0" allowBlank="1" type="list">
      <formula1>"Breastfeeding,Bottle,Mixed"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FD3EF"/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</cols>
  <sheetData>
    <row r="1" ht="32" customHeight="1">
      <c r="A1" s="17" t="inlineStr">
        <is>
          <t>🍼 Newborn Daily Care Log</t>
        </is>
      </c>
    </row>
    <row r="2" ht="20" customHeight="1">
      <c r="A2" s="18" t="inlineStr">
        <is>
          <t>Birth to ~3 months — one row per day</t>
        </is>
      </c>
    </row>
    <row r="3">
      <c r="A3" s="13" t="inlineStr">
        <is>
          <t>Baby’s birth date:</t>
        </is>
      </c>
      <c r="B3" s="14" t="inlineStr">
        <is>
          <t>2026-01-01</t>
        </is>
      </c>
      <c r="C3" s="15" t="inlineStr">
        <is>
          <t>⬅ Enter once — duplicate this tab for month 2 / month 3.</t>
        </is>
      </c>
    </row>
    <row r="4">
      <c r="A4" s="7" t="inlineStr">
        <is>
          <t>Day</t>
        </is>
      </c>
      <c r="B4" s="7" t="inlineStr">
        <is>
          <t>Date</t>
        </is>
      </c>
      <c r="C4" s="7" t="inlineStr">
        <is>
          <t>Feedings (#)</t>
        </is>
      </c>
      <c r="D4" s="7" t="inlineStr">
        <is>
          <t>Feeding Method</t>
        </is>
      </c>
      <c r="E4" s="7" t="inlineStr">
        <is>
          <t>Wet Diapers (#)</t>
        </is>
      </c>
      <c r="F4" s="7" t="inlineStr">
        <is>
          <t>Dirty Diapers (#)</t>
        </is>
      </c>
      <c r="G4" s="7" t="inlineStr">
        <is>
          <t>Stool Color</t>
        </is>
      </c>
      <c r="H4" s="7" t="inlineStr">
        <is>
          <t>Sleep (hrs)</t>
        </is>
      </c>
      <c r="I4" s="7" t="inlineStr">
        <is>
          <t>Temp (°F)</t>
        </is>
      </c>
      <c r="J4" s="7" t="inlineStr">
        <is>
          <t>Notes</t>
        </is>
      </c>
    </row>
    <row r="5">
      <c r="A5" t="n">
        <v>1</v>
      </c>
      <c r="B5" s="16">
        <f>$B$3+(1-1)</f>
        <v/>
      </c>
    </row>
    <row r="6">
      <c r="A6" t="n">
        <v>2</v>
      </c>
      <c r="B6" s="16">
        <f>$B$3+(2-1)</f>
        <v/>
      </c>
    </row>
    <row r="7">
      <c r="A7" t="n">
        <v>3</v>
      </c>
      <c r="B7" s="16">
        <f>$B$3+(3-1)</f>
        <v/>
      </c>
    </row>
    <row r="8">
      <c r="A8" t="n">
        <v>4</v>
      </c>
      <c r="B8" s="16">
        <f>$B$3+(4-1)</f>
        <v/>
      </c>
    </row>
    <row r="9">
      <c r="A9" t="n">
        <v>5</v>
      </c>
      <c r="B9" s="16">
        <f>$B$3+(5-1)</f>
        <v/>
      </c>
    </row>
    <row r="10">
      <c r="A10" t="n">
        <v>6</v>
      </c>
      <c r="B10" s="16">
        <f>$B$3+(6-1)</f>
        <v/>
      </c>
    </row>
    <row r="11">
      <c r="A11" t="n">
        <v>7</v>
      </c>
      <c r="B11" s="16">
        <f>$B$3+(7-1)</f>
        <v/>
      </c>
    </row>
    <row r="12">
      <c r="A12" t="n">
        <v>8</v>
      </c>
      <c r="B12" s="16">
        <f>$B$3+(8-1)</f>
        <v/>
      </c>
    </row>
    <row r="13">
      <c r="A13" t="n">
        <v>9</v>
      </c>
      <c r="B13" s="16">
        <f>$B$3+(9-1)</f>
        <v/>
      </c>
    </row>
    <row r="14">
      <c r="A14" t="n">
        <v>10</v>
      </c>
      <c r="B14" s="16">
        <f>$B$3+(10-1)</f>
        <v/>
      </c>
    </row>
    <row r="15">
      <c r="A15" t="n">
        <v>11</v>
      </c>
      <c r="B15" s="16">
        <f>$B$3+(11-1)</f>
        <v/>
      </c>
    </row>
    <row r="16">
      <c r="A16" t="n">
        <v>12</v>
      </c>
      <c r="B16" s="16">
        <f>$B$3+(12-1)</f>
        <v/>
      </c>
    </row>
    <row r="17">
      <c r="A17" t="n">
        <v>13</v>
      </c>
      <c r="B17" s="16">
        <f>$B$3+(13-1)</f>
        <v/>
      </c>
    </row>
    <row r="18">
      <c r="A18" t="n">
        <v>14</v>
      </c>
      <c r="B18" s="16">
        <f>$B$3+(14-1)</f>
        <v/>
      </c>
    </row>
    <row r="19">
      <c r="A19" t="n">
        <v>15</v>
      </c>
      <c r="B19" s="16">
        <f>$B$3+(15-1)</f>
        <v/>
      </c>
    </row>
    <row r="20">
      <c r="A20" t="n">
        <v>16</v>
      </c>
      <c r="B20" s="16">
        <f>$B$3+(16-1)</f>
        <v/>
      </c>
    </row>
    <row r="21">
      <c r="A21" t="n">
        <v>17</v>
      </c>
      <c r="B21" s="16">
        <f>$B$3+(17-1)</f>
        <v/>
      </c>
    </row>
    <row r="22">
      <c r="A22" t="n">
        <v>18</v>
      </c>
      <c r="B22" s="16">
        <f>$B$3+(18-1)</f>
        <v/>
      </c>
    </row>
    <row r="23">
      <c r="A23" t="n">
        <v>19</v>
      </c>
      <c r="B23" s="16">
        <f>$B$3+(19-1)</f>
        <v/>
      </c>
    </row>
    <row r="24">
      <c r="A24" t="n">
        <v>20</v>
      </c>
      <c r="B24" s="16">
        <f>$B$3+(20-1)</f>
        <v/>
      </c>
    </row>
    <row r="25">
      <c r="A25" t="n">
        <v>21</v>
      </c>
      <c r="B25" s="16">
        <f>$B$3+(21-1)</f>
        <v/>
      </c>
    </row>
    <row r="26">
      <c r="A26" t="n">
        <v>22</v>
      </c>
      <c r="B26" s="16">
        <f>$B$3+(22-1)</f>
        <v/>
      </c>
    </row>
    <row r="27">
      <c r="A27" t="n">
        <v>23</v>
      </c>
      <c r="B27" s="16">
        <f>$B$3+(23-1)</f>
        <v/>
      </c>
    </row>
    <row r="28">
      <c r="A28" t="n">
        <v>24</v>
      </c>
      <c r="B28" s="16">
        <f>$B$3+(24-1)</f>
        <v/>
      </c>
    </row>
    <row r="29">
      <c r="A29" t="n">
        <v>25</v>
      </c>
      <c r="B29" s="16">
        <f>$B$3+(25-1)</f>
        <v/>
      </c>
    </row>
    <row r="30">
      <c r="A30" t="n">
        <v>26</v>
      </c>
      <c r="B30" s="16">
        <f>$B$3+(26-1)</f>
        <v/>
      </c>
    </row>
    <row r="31">
      <c r="A31" t="n">
        <v>27</v>
      </c>
      <c r="B31" s="16">
        <f>$B$3+(27-1)</f>
        <v/>
      </c>
    </row>
    <row r="32">
      <c r="A32" t="n">
        <v>28</v>
      </c>
      <c r="B32" s="16">
        <f>$B$3+(28-1)</f>
        <v/>
      </c>
    </row>
    <row r="33">
      <c r="A33" t="n">
        <v>29</v>
      </c>
      <c r="B33" s="16">
        <f>$B$3+(29-1)</f>
        <v/>
      </c>
    </row>
    <row r="34">
      <c r="A34" t="n">
        <v>30</v>
      </c>
      <c r="B34" s="16">
        <f>$B$3+(30-1)</f>
        <v/>
      </c>
    </row>
    <row r="36" ht="34" customHeight="1">
      <c r="A36" s="4" t="inlineStr">
        <is>
          <t>⚠️ Call your pediatrician for: fewer than 6 wet diapers/day after day 5, fever ≥100.4°F (call immediately under 3 months), or black/red stool after the first days.</t>
        </is>
      </c>
    </row>
  </sheetData>
  <mergeCells count="4">
    <mergeCell ref="A1:J1"/>
    <mergeCell ref="C3:J3"/>
    <mergeCell ref="A36:J36"/>
    <mergeCell ref="A2:J2"/>
  </mergeCells>
  <conditionalFormatting sqref="E5:E34">
    <cfRule type="cellIs" priority="1" operator="lessThan" dxfId="1">
      <formula>6</formula>
    </cfRule>
  </conditionalFormatting>
  <conditionalFormatting sqref="I5:I34">
    <cfRule type="cellIs" priority="2" operator="greaterThanOrEqual" dxfId="0">
      <formula>100.4</formula>
    </cfRule>
  </conditionalFormatting>
  <conditionalFormatting sqref="G5:G34">
    <cfRule type="expression" priority="3" dxfId="0">
      <formula>G5="Red-streaked"</formula>
    </cfRule>
  </conditionalFormatting>
  <dataValidations count="2">
    <dataValidation sqref="D5:D34" showDropDown="0" showInputMessage="0" showErrorMessage="0" allowBlank="1" type="list">
      <formula1>"Breast,Bottle,Both"</formula1>
    </dataValidation>
    <dataValidation sqref="G5:G34" showDropDown="0" showInputMessage="0" showErrorMessage="0" allowBlank="1" type="list">
      <formula1>"Yellow/Seedy,Green,Brown,Black (first days),Red-streaked,N/A"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EE4C9"/>
    <outlinePr summaryBelow="1" summaryRight="1"/>
    <pageSetUpPr/>
  </sheetPr>
  <dimension ref="A1:I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2" customHeight="1">
      <c r="A1" s="11" t="inlineStr">
        <is>
          <t>📅 Baby Weekly Log</t>
        </is>
      </c>
    </row>
    <row r="2" ht="20" customHeight="1">
      <c r="A2" s="12" t="inlineStr">
        <is>
          <t>3–24 months — a lighter check-in once routines settle</t>
        </is>
      </c>
    </row>
    <row r="3">
      <c r="A3" s="13" t="inlineStr">
        <is>
          <t>Baby’s birth date:</t>
        </is>
      </c>
      <c r="B3" s="14" t="inlineStr">
        <is>
          <t>2026-01-01</t>
        </is>
      </c>
      <c r="C3" s="15" t="inlineStr">
        <is>
          <t>⬅ Same birth date as the Newborn Daily Log tab.</t>
        </is>
      </c>
    </row>
    <row r="4">
      <c r="A4" s="7" t="inlineStr">
        <is>
          <t>Week #</t>
        </is>
      </c>
      <c r="B4" s="7" t="inlineStr">
        <is>
          <t>Age (months)</t>
        </is>
      </c>
      <c r="C4" s="7" t="inlineStr">
        <is>
          <t>Week Of</t>
        </is>
      </c>
      <c r="D4" s="7" t="inlineStr">
        <is>
          <t>Avg Feedings/Day</t>
        </is>
      </c>
      <c r="E4" s="7" t="inlineStr">
        <is>
          <t>Avg Sleep (hrs/day)</t>
        </is>
      </c>
      <c r="F4" s="7" t="inlineStr">
        <is>
          <t>Diapers/Day (approx)</t>
        </is>
      </c>
      <c r="G4" s="7" t="inlineStr">
        <is>
          <t>Naps/Day</t>
        </is>
      </c>
      <c r="H4" s="7" t="inlineStr">
        <is>
          <t>New This Week</t>
        </is>
      </c>
      <c r="I4" s="7" t="inlineStr">
        <is>
          <t>Notes</t>
        </is>
      </c>
    </row>
    <row r="5">
      <c r="A5" t="n">
        <v>13</v>
      </c>
      <c r="B5">
        <f>ROUND(13/4.345,1)</f>
        <v/>
      </c>
      <c r="C5" s="16">
        <f>$B$3+((13-1)*7)</f>
        <v/>
      </c>
    </row>
    <row r="6">
      <c r="A6" t="n">
        <v>14</v>
      </c>
      <c r="B6">
        <f>ROUND(14/4.345,1)</f>
        <v/>
      </c>
      <c r="C6" s="16">
        <f>$B$3+((14-1)*7)</f>
        <v/>
      </c>
    </row>
    <row r="7">
      <c r="A7" t="n">
        <v>15</v>
      </c>
      <c r="B7">
        <f>ROUND(15/4.345,1)</f>
        <v/>
      </c>
      <c r="C7" s="16">
        <f>$B$3+((15-1)*7)</f>
        <v/>
      </c>
    </row>
    <row r="8">
      <c r="A8" t="n">
        <v>16</v>
      </c>
      <c r="B8">
        <f>ROUND(16/4.345,1)</f>
        <v/>
      </c>
      <c r="C8" s="16">
        <f>$B$3+((16-1)*7)</f>
        <v/>
      </c>
    </row>
    <row r="9">
      <c r="A9" t="n">
        <v>17</v>
      </c>
      <c r="B9">
        <f>ROUND(17/4.345,1)</f>
        <v/>
      </c>
      <c r="C9" s="16">
        <f>$B$3+((17-1)*7)</f>
        <v/>
      </c>
    </row>
    <row r="10">
      <c r="A10" t="n">
        <v>18</v>
      </c>
      <c r="B10">
        <f>ROUND(18/4.345,1)</f>
        <v/>
      </c>
      <c r="C10" s="16">
        <f>$B$3+((18-1)*7)</f>
        <v/>
      </c>
    </row>
    <row r="11">
      <c r="A11" t="n">
        <v>19</v>
      </c>
      <c r="B11">
        <f>ROUND(19/4.345,1)</f>
        <v/>
      </c>
      <c r="C11" s="16">
        <f>$B$3+((19-1)*7)</f>
        <v/>
      </c>
    </row>
    <row r="12">
      <c r="A12" t="n">
        <v>20</v>
      </c>
      <c r="B12">
        <f>ROUND(20/4.345,1)</f>
        <v/>
      </c>
      <c r="C12" s="16">
        <f>$B$3+((20-1)*7)</f>
        <v/>
      </c>
    </row>
    <row r="13">
      <c r="A13" t="n">
        <v>21</v>
      </c>
      <c r="B13">
        <f>ROUND(21/4.345,1)</f>
        <v/>
      </c>
      <c r="C13" s="16">
        <f>$B$3+((21-1)*7)</f>
        <v/>
      </c>
    </row>
    <row r="14">
      <c r="A14" t="n">
        <v>22</v>
      </c>
      <c r="B14">
        <f>ROUND(22/4.345,1)</f>
        <v/>
      </c>
      <c r="C14" s="16">
        <f>$B$3+((22-1)*7)</f>
        <v/>
      </c>
    </row>
    <row r="15">
      <c r="A15" t="n">
        <v>23</v>
      </c>
      <c r="B15">
        <f>ROUND(23/4.345,1)</f>
        <v/>
      </c>
      <c r="C15" s="16">
        <f>$B$3+((23-1)*7)</f>
        <v/>
      </c>
    </row>
    <row r="16">
      <c r="A16" t="n">
        <v>24</v>
      </c>
      <c r="B16">
        <f>ROUND(24/4.345,1)</f>
        <v/>
      </c>
      <c r="C16" s="16">
        <f>$B$3+((24-1)*7)</f>
        <v/>
      </c>
    </row>
    <row r="17">
      <c r="A17" t="n">
        <v>25</v>
      </c>
      <c r="B17">
        <f>ROUND(25/4.345,1)</f>
        <v/>
      </c>
      <c r="C17" s="16">
        <f>$B$3+((25-1)*7)</f>
        <v/>
      </c>
    </row>
    <row r="18">
      <c r="A18" t="n">
        <v>26</v>
      </c>
      <c r="B18">
        <f>ROUND(26/4.345,1)</f>
        <v/>
      </c>
      <c r="C18" s="16">
        <f>$B$3+((26-1)*7)</f>
        <v/>
      </c>
    </row>
    <row r="19">
      <c r="A19" t="n">
        <v>27</v>
      </c>
      <c r="B19">
        <f>ROUND(27/4.345,1)</f>
        <v/>
      </c>
      <c r="C19" s="16">
        <f>$B$3+((27-1)*7)</f>
        <v/>
      </c>
    </row>
    <row r="20">
      <c r="A20" t="n">
        <v>28</v>
      </c>
      <c r="B20">
        <f>ROUND(28/4.345,1)</f>
        <v/>
      </c>
      <c r="C20" s="16">
        <f>$B$3+((28-1)*7)</f>
        <v/>
      </c>
    </row>
    <row r="21">
      <c r="A21" t="n">
        <v>29</v>
      </c>
      <c r="B21">
        <f>ROUND(29/4.345,1)</f>
        <v/>
      </c>
      <c r="C21" s="16">
        <f>$B$3+((29-1)*7)</f>
        <v/>
      </c>
    </row>
    <row r="22">
      <c r="A22" t="n">
        <v>30</v>
      </c>
      <c r="B22">
        <f>ROUND(30/4.345,1)</f>
        <v/>
      </c>
      <c r="C22" s="16">
        <f>$B$3+((30-1)*7)</f>
        <v/>
      </c>
    </row>
    <row r="23">
      <c r="A23" t="n">
        <v>31</v>
      </c>
      <c r="B23">
        <f>ROUND(31/4.345,1)</f>
        <v/>
      </c>
      <c r="C23" s="16">
        <f>$B$3+((31-1)*7)</f>
        <v/>
      </c>
    </row>
    <row r="24">
      <c r="A24" t="n">
        <v>32</v>
      </c>
      <c r="B24">
        <f>ROUND(32/4.345,1)</f>
        <v/>
      </c>
      <c r="C24" s="16">
        <f>$B$3+((32-1)*7)</f>
        <v/>
      </c>
    </row>
    <row r="25">
      <c r="A25" t="n">
        <v>33</v>
      </c>
      <c r="B25">
        <f>ROUND(33/4.345,1)</f>
        <v/>
      </c>
      <c r="C25" s="16">
        <f>$B$3+((33-1)*7)</f>
        <v/>
      </c>
    </row>
    <row r="26">
      <c r="A26" t="n">
        <v>34</v>
      </c>
      <c r="B26">
        <f>ROUND(34/4.345,1)</f>
        <v/>
      </c>
      <c r="C26" s="16">
        <f>$B$3+((34-1)*7)</f>
        <v/>
      </c>
    </row>
    <row r="27">
      <c r="A27" t="n">
        <v>35</v>
      </c>
      <c r="B27">
        <f>ROUND(35/4.345,1)</f>
        <v/>
      </c>
      <c r="C27" s="16">
        <f>$B$3+((35-1)*7)</f>
        <v/>
      </c>
    </row>
    <row r="28">
      <c r="A28" t="n">
        <v>36</v>
      </c>
      <c r="B28">
        <f>ROUND(36/4.345,1)</f>
        <v/>
      </c>
      <c r="C28" s="16">
        <f>$B$3+((36-1)*7)</f>
        <v/>
      </c>
    </row>
    <row r="29">
      <c r="A29" t="n">
        <v>37</v>
      </c>
      <c r="B29">
        <f>ROUND(37/4.345,1)</f>
        <v/>
      </c>
      <c r="C29" s="16">
        <f>$B$3+((37-1)*7)</f>
        <v/>
      </c>
    </row>
    <row r="30">
      <c r="A30" t="n">
        <v>38</v>
      </c>
      <c r="B30">
        <f>ROUND(38/4.345,1)</f>
        <v/>
      </c>
      <c r="C30" s="16">
        <f>$B$3+((38-1)*7)</f>
        <v/>
      </c>
    </row>
    <row r="31">
      <c r="A31" t="n">
        <v>39</v>
      </c>
      <c r="B31">
        <f>ROUND(39/4.345,1)</f>
        <v/>
      </c>
      <c r="C31" s="16">
        <f>$B$3+((39-1)*7)</f>
        <v/>
      </c>
    </row>
    <row r="32">
      <c r="A32" t="n">
        <v>40</v>
      </c>
      <c r="B32">
        <f>ROUND(40/4.345,1)</f>
        <v/>
      </c>
      <c r="C32" s="16">
        <f>$B$3+((40-1)*7)</f>
        <v/>
      </c>
    </row>
    <row r="33">
      <c r="A33" t="n">
        <v>41</v>
      </c>
      <c r="B33">
        <f>ROUND(41/4.345,1)</f>
        <v/>
      </c>
      <c r="C33" s="16">
        <f>$B$3+((41-1)*7)</f>
        <v/>
      </c>
    </row>
    <row r="34">
      <c r="A34" t="n">
        <v>42</v>
      </c>
      <c r="B34">
        <f>ROUND(42/4.345,1)</f>
        <v/>
      </c>
      <c r="C34" s="16">
        <f>$B$3+((42-1)*7)</f>
        <v/>
      </c>
    </row>
    <row r="35">
      <c r="A35" t="n">
        <v>43</v>
      </c>
      <c r="B35">
        <f>ROUND(43/4.345,1)</f>
        <v/>
      </c>
      <c r="C35" s="16">
        <f>$B$3+((43-1)*7)</f>
        <v/>
      </c>
    </row>
    <row r="36">
      <c r="A36" t="n">
        <v>44</v>
      </c>
      <c r="B36">
        <f>ROUND(44/4.345,1)</f>
        <v/>
      </c>
      <c r="C36" s="16">
        <f>$B$3+((44-1)*7)</f>
        <v/>
      </c>
    </row>
    <row r="37">
      <c r="A37" t="n">
        <v>45</v>
      </c>
      <c r="B37">
        <f>ROUND(45/4.345,1)</f>
        <v/>
      </c>
      <c r="C37" s="16">
        <f>$B$3+((45-1)*7)</f>
        <v/>
      </c>
    </row>
    <row r="38">
      <c r="A38" t="n">
        <v>46</v>
      </c>
      <c r="B38">
        <f>ROUND(46/4.345,1)</f>
        <v/>
      </c>
      <c r="C38" s="16">
        <f>$B$3+((46-1)*7)</f>
        <v/>
      </c>
    </row>
    <row r="39">
      <c r="A39" t="n">
        <v>47</v>
      </c>
      <c r="B39">
        <f>ROUND(47/4.345,1)</f>
        <v/>
      </c>
      <c r="C39" s="16">
        <f>$B$3+((47-1)*7)</f>
        <v/>
      </c>
    </row>
    <row r="40">
      <c r="A40" t="n">
        <v>48</v>
      </c>
      <c r="B40">
        <f>ROUND(48/4.345,1)</f>
        <v/>
      </c>
      <c r="C40" s="16">
        <f>$B$3+((48-1)*7)</f>
        <v/>
      </c>
    </row>
    <row r="41">
      <c r="A41" t="n">
        <v>49</v>
      </c>
      <c r="B41">
        <f>ROUND(49/4.345,1)</f>
        <v/>
      </c>
      <c r="C41" s="16">
        <f>$B$3+((49-1)*7)</f>
        <v/>
      </c>
    </row>
    <row r="42">
      <c r="A42" t="n">
        <v>50</v>
      </c>
      <c r="B42">
        <f>ROUND(50/4.345,1)</f>
        <v/>
      </c>
      <c r="C42" s="16">
        <f>$B$3+((50-1)*7)</f>
        <v/>
      </c>
    </row>
    <row r="43">
      <c r="A43" t="n">
        <v>51</v>
      </c>
      <c r="B43">
        <f>ROUND(51/4.345,1)</f>
        <v/>
      </c>
      <c r="C43" s="16">
        <f>$B$3+((51-1)*7)</f>
        <v/>
      </c>
    </row>
    <row r="44">
      <c r="A44" t="n">
        <v>52</v>
      </c>
      <c r="B44">
        <f>ROUND(52/4.345,1)</f>
        <v/>
      </c>
      <c r="C44" s="16">
        <f>$B$3+((52-1)*7)</f>
        <v/>
      </c>
    </row>
    <row r="45">
      <c r="A45" t="n">
        <v>53</v>
      </c>
      <c r="B45">
        <f>ROUND(53/4.345,1)</f>
        <v/>
      </c>
      <c r="C45" s="16">
        <f>$B$3+((53-1)*7)</f>
        <v/>
      </c>
    </row>
    <row r="46">
      <c r="A46" t="n">
        <v>54</v>
      </c>
      <c r="B46">
        <f>ROUND(54/4.345,1)</f>
        <v/>
      </c>
      <c r="C46" s="16">
        <f>$B$3+((54-1)*7)</f>
        <v/>
      </c>
    </row>
    <row r="47">
      <c r="A47" t="n">
        <v>55</v>
      </c>
      <c r="B47">
        <f>ROUND(55/4.345,1)</f>
        <v/>
      </c>
      <c r="C47" s="16">
        <f>$B$3+((55-1)*7)</f>
        <v/>
      </c>
    </row>
    <row r="48">
      <c r="A48" t="n">
        <v>56</v>
      </c>
      <c r="B48">
        <f>ROUND(56/4.345,1)</f>
        <v/>
      </c>
      <c r="C48" s="16">
        <f>$B$3+((56-1)*7)</f>
        <v/>
      </c>
    </row>
    <row r="49">
      <c r="A49" t="n">
        <v>57</v>
      </c>
      <c r="B49">
        <f>ROUND(57/4.345,1)</f>
        <v/>
      </c>
      <c r="C49" s="16">
        <f>$B$3+((57-1)*7)</f>
        <v/>
      </c>
    </row>
    <row r="50">
      <c r="A50" t="n">
        <v>58</v>
      </c>
      <c r="B50">
        <f>ROUND(58/4.345,1)</f>
        <v/>
      </c>
      <c r="C50" s="16">
        <f>$B$3+((58-1)*7)</f>
        <v/>
      </c>
    </row>
    <row r="51">
      <c r="A51" t="n">
        <v>59</v>
      </c>
      <c r="B51">
        <f>ROUND(59/4.345,1)</f>
        <v/>
      </c>
      <c r="C51" s="16">
        <f>$B$3+((59-1)*7)</f>
        <v/>
      </c>
    </row>
    <row r="52">
      <c r="A52" t="n">
        <v>60</v>
      </c>
      <c r="B52">
        <f>ROUND(60/4.345,1)</f>
        <v/>
      </c>
      <c r="C52" s="16">
        <f>$B$3+((60-1)*7)</f>
        <v/>
      </c>
    </row>
    <row r="53">
      <c r="A53" t="n">
        <v>61</v>
      </c>
      <c r="B53">
        <f>ROUND(61/4.345,1)</f>
        <v/>
      </c>
      <c r="C53" s="16">
        <f>$B$3+((61-1)*7)</f>
        <v/>
      </c>
    </row>
    <row r="54">
      <c r="A54" t="n">
        <v>62</v>
      </c>
      <c r="B54">
        <f>ROUND(62/4.345,1)</f>
        <v/>
      </c>
      <c r="C54" s="16">
        <f>$B$3+((62-1)*7)</f>
        <v/>
      </c>
    </row>
    <row r="55">
      <c r="A55" t="n">
        <v>63</v>
      </c>
      <c r="B55">
        <f>ROUND(63/4.345,1)</f>
        <v/>
      </c>
      <c r="C55" s="16">
        <f>$B$3+((63-1)*7)</f>
        <v/>
      </c>
    </row>
    <row r="56">
      <c r="A56" t="n">
        <v>64</v>
      </c>
      <c r="B56">
        <f>ROUND(64/4.345,1)</f>
        <v/>
      </c>
      <c r="C56" s="16">
        <f>$B$3+((64-1)*7)</f>
        <v/>
      </c>
    </row>
    <row r="57">
      <c r="A57" t="n">
        <v>65</v>
      </c>
      <c r="B57">
        <f>ROUND(65/4.345,1)</f>
        <v/>
      </c>
      <c r="C57" s="16">
        <f>$B$3+((65-1)*7)</f>
        <v/>
      </c>
    </row>
    <row r="58">
      <c r="A58" t="n">
        <v>66</v>
      </c>
      <c r="B58">
        <f>ROUND(66/4.345,1)</f>
        <v/>
      </c>
      <c r="C58" s="16">
        <f>$B$3+((66-1)*7)</f>
        <v/>
      </c>
    </row>
    <row r="59">
      <c r="A59" t="n">
        <v>67</v>
      </c>
      <c r="B59">
        <f>ROUND(67/4.345,1)</f>
        <v/>
      </c>
      <c r="C59" s="16">
        <f>$B$3+((67-1)*7)</f>
        <v/>
      </c>
    </row>
    <row r="60">
      <c r="A60" t="n">
        <v>68</v>
      </c>
      <c r="B60">
        <f>ROUND(68/4.345,1)</f>
        <v/>
      </c>
      <c r="C60" s="16">
        <f>$B$3+((68-1)*7)</f>
        <v/>
      </c>
    </row>
    <row r="61">
      <c r="A61" t="n">
        <v>69</v>
      </c>
      <c r="B61">
        <f>ROUND(69/4.345,1)</f>
        <v/>
      </c>
      <c r="C61" s="16">
        <f>$B$3+((69-1)*7)</f>
        <v/>
      </c>
    </row>
    <row r="62">
      <c r="A62" t="n">
        <v>70</v>
      </c>
      <c r="B62">
        <f>ROUND(70/4.345,1)</f>
        <v/>
      </c>
      <c r="C62" s="16">
        <f>$B$3+((70-1)*7)</f>
        <v/>
      </c>
    </row>
    <row r="63">
      <c r="A63" t="n">
        <v>71</v>
      </c>
      <c r="B63">
        <f>ROUND(71/4.345,1)</f>
        <v/>
      </c>
      <c r="C63" s="16">
        <f>$B$3+((71-1)*7)</f>
        <v/>
      </c>
    </row>
    <row r="64">
      <c r="A64" t="n">
        <v>72</v>
      </c>
      <c r="B64">
        <f>ROUND(72/4.345,1)</f>
        <v/>
      </c>
      <c r="C64" s="16">
        <f>$B$3+((72-1)*7)</f>
        <v/>
      </c>
    </row>
    <row r="65">
      <c r="A65" t="n">
        <v>73</v>
      </c>
      <c r="B65">
        <f>ROUND(73/4.345,1)</f>
        <v/>
      </c>
      <c r="C65" s="16">
        <f>$B$3+((73-1)*7)</f>
        <v/>
      </c>
    </row>
    <row r="66">
      <c r="A66" t="n">
        <v>74</v>
      </c>
      <c r="B66">
        <f>ROUND(74/4.345,1)</f>
        <v/>
      </c>
      <c r="C66" s="16">
        <f>$B$3+((74-1)*7)</f>
        <v/>
      </c>
    </row>
    <row r="67">
      <c r="A67" t="n">
        <v>75</v>
      </c>
      <c r="B67">
        <f>ROUND(75/4.345,1)</f>
        <v/>
      </c>
      <c r="C67" s="16">
        <f>$B$3+((75-1)*7)</f>
        <v/>
      </c>
    </row>
    <row r="68">
      <c r="A68" t="n">
        <v>76</v>
      </c>
      <c r="B68">
        <f>ROUND(76/4.345,1)</f>
        <v/>
      </c>
      <c r="C68" s="16">
        <f>$B$3+((76-1)*7)</f>
        <v/>
      </c>
    </row>
    <row r="69">
      <c r="A69" t="n">
        <v>77</v>
      </c>
      <c r="B69">
        <f>ROUND(77/4.345,1)</f>
        <v/>
      </c>
      <c r="C69" s="16">
        <f>$B$3+((77-1)*7)</f>
        <v/>
      </c>
    </row>
    <row r="70">
      <c r="A70" t="n">
        <v>78</v>
      </c>
      <c r="B70">
        <f>ROUND(78/4.345,1)</f>
        <v/>
      </c>
      <c r="C70" s="16">
        <f>$B$3+((78-1)*7)</f>
        <v/>
      </c>
    </row>
    <row r="71">
      <c r="A71" t="n">
        <v>79</v>
      </c>
      <c r="B71">
        <f>ROUND(79/4.345,1)</f>
        <v/>
      </c>
      <c r="C71" s="16">
        <f>$B$3+((79-1)*7)</f>
        <v/>
      </c>
    </row>
    <row r="72">
      <c r="A72" t="n">
        <v>80</v>
      </c>
      <c r="B72">
        <f>ROUND(80/4.345,1)</f>
        <v/>
      </c>
      <c r="C72" s="16">
        <f>$B$3+((80-1)*7)</f>
        <v/>
      </c>
    </row>
    <row r="73">
      <c r="A73" t="n">
        <v>81</v>
      </c>
      <c r="B73">
        <f>ROUND(81/4.345,1)</f>
        <v/>
      </c>
      <c r="C73" s="16">
        <f>$B$3+((81-1)*7)</f>
        <v/>
      </c>
    </row>
    <row r="74">
      <c r="A74" t="n">
        <v>82</v>
      </c>
      <c r="B74">
        <f>ROUND(82/4.345,1)</f>
        <v/>
      </c>
      <c r="C74" s="16">
        <f>$B$3+((82-1)*7)</f>
        <v/>
      </c>
    </row>
    <row r="75">
      <c r="A75" t="n">
        <v>83</v>
      </c>
      <c r="B75">
        <f>ROUND(83/4.345,1)</f>
        <v/>
      </c>
      <c r="C75" s="16">
        <f>$B$3+((83-1)*7)</f>
        <v/>
      </c>
    </row>
    <row r="76">
      <c r="A76" t="n">
        <v>84</v>
      </c>
      <c r="B76">
        <f>ROUND(84/4.345,1)</f>
        <v/>
      </c>
      <c r="C76" s="16">
        <f>$B$3+((84-1)*7)</f>
        <v/>
      </c>
    </row>
    <row r="77">
      <c r="A77" t="n">
        <v>85</v>
      </c>
      <c r="B77">
        <f>ROUND(85/4.345,1)</f>
        <v/>
      </c>
      <c r="C77" s="16">
        <f>$B$3+((85-1)*7)</f>
        <v/>
      </c>
    </row>
    <row r="78">
      <c r="A78" t="n">
        <v>86</v>
      </c>
      <c r="B78">
        <f>ROUND(86/4.345,1)</f>
        <v/>
      </c>
      <c r="C78" s="16">
        <f>$B$3+((86-1)*7)</f>
        <v/>
      </c>
    </row>
    <row r="79">
      <c r="A79" t="n">
        <v>87</v>
      </c>
      <c r="B79">
        <f>ROUND(87/4.345,1)</f>
        <v/>
      </c>
      <c r="C79" s="16">
        <f>$B$3+((87-1)*7)</f>
        <v/>
      </c>
    </row>
    <row r="80">
      <c r="A80" t="n">
        <v>88</v>
      </c>
      <c r="B80">
        <f>ROUND(88/4.345,1)</f>
        <v/>
      </c>
      <c r="C80" s="16">
        <f>$B$3+((88-1)*7)</f>
        <v/>
      </c>
    </row>
    <row r="81">
      <c r="A81" t="n">
        <v>89</v>
      </c>
      <c r="B81">
        <f>ROUND(89/4.345,1)</f>
        <v/>
      </c>
      <c r="C81" s="16">
        <f>$B$3+((89-1)*7)</f>
        <v/>
      </c>
    </row>
    <row r="82">
      <c r="A82" t="n">
        <v>90</v>
      </c>
      <c r="B82">
        <f>ROUND(90/4.345,1)</f>
        <v/>
      </c>
      <c r="C82" s="16">
        <f>$B$3+((90-1)*7)</f>
        <v/>
      </c>
    </row>
    <row r="83">
      <c r="A83" t="n">
        <v>91</v>
      </c>
      <c r="B83">
        <f>ROUND(91/4.345,1)</f>
        <v/>
      </c>
      <c r="C83" s="16">
        <f>$B$3+((91-1)*7)</f>
        <v/>
      </c>
    </row>
    <row r="84">
      <c r="A84" t="n">
        <v>92</v>
      </c>
      <c r="B84">
        <f>ROUND(92/4.345,1)</f>
        <v/>
      </c>
      <c r="C84" s="16">
        <f>$B$3+((92-1)*7)</f>
        <v/>
      </c>
    </row>
    <row r="85">
      <c r="A85" t="n">
        <v>93</v>
      </c>
      <c r="B85">
        <f>ROUND(93/4.345,1)</f>
        <v/>
      </c>
      <c r="C85" s="16">
        <f>$B$3+((93-1)*7)</f>
        <v/>
      </c>
    </row>
    <row r="86">
      <c r="A86" t="n">
        <v>94</v>
      </c>
      <c r="B86">
        <f>ROUND(94/4.345,1)</f>
        <v/>
      </c>
      <c r="C86" s="16">
        <f>$B$3+((94-1)*7)</f>
        <v/>
      </c>
    </row>
    <row r="87">
      <c r="A87" t="n">
        <v>95</v>
      </c>
      <c r="B87">
        <f>ROUND(95/4.345,1)</f>
        <v/>
      </c>
      <c r="C87" s="16">
        <f>$B$3+((95-1)*7)</f>
        <v/>
      </c>
    </row>
    <row r="88">
      <c r="A88" t="n">
        <v>96</v>
      </c>
      <c r="B88">
        <f>ROUND(96/4.345,1)</f>
        <v/>
      </c>
      <c r="C88" s="16">
        <f>$B$3+((96-1)*7)</f>
        <v/>
      </c>
    </row>
    <row r="89">
      <c r="A89" t="n">
        <v>97</v>
      </c>
      <c r="B89">
        <f>ROUND(97/4.345,1)</f>
        <v/>
      </c>
      <c r="C89" s="16">
        <f>$B$3+((97-1)*7)</f>
        <v/>
      </c>
    </row>
    <row r="90">
      <c r="A90" t="n">
        <v>98</v>
      </c>
      <c r="B90">
        <f>ROUND(98/4.345,1)</f>
        <v/>
      </c>
      <c r="C90" s="16">
        <f>$B$3+((98-1)*7)</f>
        <v/>
      </c>
    </row>
    <row r="91">
      <c r="A91" t="n">
        <v>99</v>
      </c>
      <c r="B91">
        <f>ROUND(99/4.345,1)</f>
        <v/>
      </c>
      <c r="C91" s="16">
        <f>$B$3+((99-1)*7)</f>
        <v/>
      </c>
    </row>
    <row r="92">
      <c r="A92" t="n">
        <v>100</v>
      </c>
      <c r="B92">
        <f>ROUND(100/4.345,1)</f>
        <v/>
      </c>
      <c r="C92" s="16">
        <f>$B$3+((100-1)*7)</f>
        <v/>
      </c>
    </row>
    <row r="93">
      <c r="A93" t="n">
        <v>101</v>
      </c>
      <c r="B93">
        <f>ROUND(101/4.345,1)</f>
        <v/>
      </c>
      <c r="C93" s="16">
        <f>$B$3+((101-1)*7)</f>
        <v/>
      </c>
    </row>
    <row r="94">
      <c r="A94" t="n">
        <v>102</v>
      </c>
      <c r="B94">
        <f>ROUND(102/4.345,1)</f>
        <v/>
      </c>
      <c r="C94" s="16">
        <f>$B$3+((102-1)*7)</f>
        <v/>
      </c>
    </row>
    <row r="95">
      <c r="A95" t="n">
        <v>103</v>
      </c>
      <c r="B95">
        <f>ROUND(103/4.345,1)</f>
        <v/>
      </c>
      <c r="C95" s="16">
        <f>$B$3+((103-1)*7)</f>
        <v/>
      </c>
    </row>
    <row r="97" ht="34" customHeight="1">
      <c r="A97" s="4" t="inlineStr">
        <is>
          <t>Tip: fill this in weekly instead of daily once feeding and sleep settle into a routine, usually around 3 months.</t>
        </is>
      </c>
    </row>
  </sheetData>
  <mergeCells count="4">
    <mergeCell ref="A1:I1"/>
    <mergeCell ref="C3:I3"/>
    <mergeCell ref="A2:I2"/>
    <mergeCell ref="A97:I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B8ED"/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📏 Baby Growth Tracker</t>
        </is>
      </c>
    </row>
    <row r="2" ht="20" customHeight="1">
      <c r="A2" s="2" t="inlineStr">
        <is>
          <t>Weight, height &amp; head circumference at each well-check</t>
        </is>
      </c>
    </row>
    <row r="3">
      <c r="A3" s="7" t="inlineStr">
        <is>
          <t>Check-up</t>
        </is>
      </c>
      <c r="B3" s="7" t="inlineStr">
        <is>
          <t>Age</t>
        </is>
      </c>
      <c r="C3" s="7" t="inlineStr">
        <is>
          <t>Date</t>
        </is>
      </c>
      <c r="D3" s="7" t="inlineStr">
        <is>
          <t>Weight</t>
        </is>
      </c>
      <c r="E3" s="7" t="inlineStr">
        <is>
          <t>Height / Length</t>
        </is>
      </c>
      <c r="F3" s="7" t="inlineStr">
        <is>
          <t>Head Circumference</t>
        </is>
      </c>
    </row>
    <row r="4">
      <c r="A4" t="inlineStr">
        <is>
          <t>Birth</t>
        </is>
      </c>
      <c r="B4" t="inlineStr">
        <is>
          <t>Birth</t>
        </is>
      </c>
    </row>
    <row r="5">
      <c r="A5" t="inlineStr">
        <is>
          <t>2 Weeks</t>
        </is>
      </c>
      <c r="B5" t="inlineStr">
        <is>
          <t>2 Weeks</t>
        </is>
      </c>
    </row>
    <row r="6">
      <c r="A6" t="inlineStr">
        <is>
          <t>1 Month</t>
        </is>
      </c>
      <c r="B6" t="inlineStr">
        <is>
          <t>1 Month</t>
        </is>
      </c>
    </row>
    <row r="7">
      <c r="A7" t="inlineStr">
        <is>
          <t>2 Months</t>
        </is>
      </c>
      <c r="B7" t="inlineStr">
        <is>
          <t>2 Months</t>
        </is>
      </c>
    </row>
    <row r="8">
      <c r="A8" t="inlineStr">
        <is>
          <t>4 Months</t>
        </is>
      </c>
      <c r="B8" t="inlineStr">
        <is>
          <t>4 Months</t>
        </is>
      </c>
    </row>
    <row r="9">
      <c r="A9" t="inlineStr">
        <is>
          <t>6 Months</t>
        </is>
      </c>
      <c r="B9" t="inlineStr">
        <is>
          <t>6 Months</t>
        </is>
      </c>
    </row>
    <row r="10">
      <c r="A10" t="inlineStr">
        <is>
          <t>9 Months</t>
        </is>
      </c>
      <c r="B10" t="inlineStr">
        <is>
          <t>9 Months</t>
        </is>
      </c>
    </row>
    <row r="11">
      <c r="A11" t="inlineStr">
        <is>
          <t>12 Months</t>
        </is>
      </c>
      <c r="B11" t="inlineStr">
        <is>
          <t>12 Months</t>
        </is>
      </c>
    </row>
    <row r="12">
      <c r="A12" t="inlineStr">
        <is>
          <t>15 Months</t>
        </is>
      </c>
      <c r="B12" t="inlineStr">
        <is>
          <t>15 Months</t>
        </is>
      </c>
    </row>
    <row r="13">
      <c r="A13" t="inlineStr">
        <is>
          <t>18 Months</t>
        </is>
      </c>
      <c r="B13" t="inlineStr">
        <is>
          <t>18 Months</t>
        </is>
      </c>
    </row>
    <row r="14">
      <c r="A14" t="inlineStr">
        <is>
          <t>21 Months</t>
        </is>
      </c>
      <c r="B14" t="inlineStr">
        <is>
          <t>21 Months</t>
        </is>
      </c>
    </row>
    <row r="15">
      <c r="A15" t="inlineStr">
        <is>
          <t>24 Months</t>
        </is>
      </c>
      <c r="B15" t="inlineStr">
        <is>
          <t>24 Months</t>
        </is>
      </c>
    </row>
    <row r="37" ht="34" customHeight="1">
      <c r="A37" s="4" t="inlineStr">
        <is>
          <t>Enter the numbers from your pediatrician visits here — the chart above updates automatically.</t>
        </is>
      </c>
    </row>
  </sheetData>
  <mergeCells count="3">
    <mergeCell ref="A2:F2"/>
    <mergeCell ref="A1:F1"/>
    <mergeCell ref="A37:F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FBE192"/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34" customWidth="1" min="4" max="4"/>
  </cols>
  <sheetData>
    <row r="1" ht="32" customHeight="1">
      <c r="A1" s="20" t="inlineStr">
        <is>
          <t>🧠 Developmental Milestones</t>
        </is>
      </c>
    </row>
    <row r="2" ht="20" customHeight="1">
      <c r="A2" s="21" t="inlineStr">
        <is>
          <t>General reference, 0–24 months</t>
        </is>
      </c>
    </row>
    <row r="3">
      <c r="A3" s="7" t="inlineStr">
        <is>
          <t>Milestone</t>
        </is>
      </c>
      <c r="B3" s="7" t="inlineStr">
        <is>
          <t>Achieved</t>
        </is>
      </c>
      <c r="C3" s="7" t="inlineStr">
        <is>
          <t>Date Achieved</t>
        </is>
      </c>
      <c r="D3" s="7" t="inlineStr">
        <is>
          <t>Notes</t>
        </is>
      </c>
    </row>
    <row r="4">
      <c r="A4" s="8" t="inlineStr">
        <is>
          <t>0–3 Months</t>
        </is>
      </c>
    </row>
    <row r="5">
      <c r="A5" t="inlineStr">
        <is>
          <t>Lifts head briefly during tummy time</t>
        </is>
      </c>
      <c r="B5" t="b">
        <v>0</v>
      </c>
      <c r="C5" s="16" t="n"/>
    </row>
    <row r="6">
      <c r="A6" t="inlineStr">
        <is>
          <t>Follows faces/objects with eyes</t>
        </is>
      </c>
      <c r="B6" t="b">
        <v>0</v>
      </c>
      <c r="C6" s="16" t="n"/>
    </row>
    <row r="7">
      <c r="A7" t="inlineStr">
        <is>
          <t>Smiles responsively</t>
        </is>
      </c>
      <c r="B7" t="b">
        <v>0</v>
      </c>
      <c r="C7" s="16" t="n"/>
    </row>
    <row r="8">
      <c r="A8" t="inlineStr">
        <is>
          <t>Makes cooing sounds</t>
        </is>
      </c>
      <c r="B8" t="b">
        <v>0</v>
      </c>
      <c r="C8" s="16" t="n"/>
    </row>
    <row r="9">
      <c r="A9" t="inlineStr">
        <is>
          <t>Brings hands to mouth</t>
        </is>
      </c>
      <c r="B9" t="b">
        <v>0</v>
      </c>
      <c r="C9" s="16" t="n"/>
    </row>
    <row r="10">
      <c r="A10" t="inlineStr">
        <is>
          <t>Startles at loud sounds</t>
        </is>
      </c>
      <c r="B10" t="b">
        <v>0</v>
      </c>
      <c r="C10" s="16" t="n"/>
    </row>
    <row r="11">
      <c r="A11" s="9" t="inlineStr">
        <is>
          <t>4–6 Months</t>
        </is>
      </c>
    </row>
    <row r="12">
      <c r="A12" t="inlineStr">
        <is>
          <t>Rolls from tummy to back</t>
        </is>
      </c>
      <c r="B12" t="b">
        <v>0</v>
      </c>
      <c r="C12" s="16" t="n"/>
    </row>
    <row r="13">
      <c r="A13" t="inlineStr">
        <is>
          <t>Holds head steady without support</t>
        </is>
      </c>
      <c r="B13" t="b">
        <v>0</v>
      </c>
      <c r="C13" s="16" t="n"/>
    </row>
    <row r="14">
      <c r="A14" t="inlineStr">
        <is>
          <t>Reaches for and grabs objects</t>
        </is>
      </c>
      <c r="B14" t="b">
        <v>0</v>
      </c>
      <c r="C14" s="16" t="n"/>
    </row>
    <row r="15">
      <c r="A15" t="inlineStr">
        <is>
          <t>Laughs out loud</t>
        </is>
      </c>
      <c r="B15" t="b">
        <v>0</v>
      </c>
      <c r="C15" s="16" t="n"/>
    </row>
    <row r="16">
      <c r="A16" t="inlineStr">
        <is>
          <t>Begins babbling ("ba-ba", "da-da")</t>
        </is>
      </c>
      <c r="B16" t="b">
        <v>0</v>
      </c>
      <c r="C16" s="16" t="n"/>
    </row>
    <row r="17">
      <c r="A17" t="inlineStr">
        <is>
          <t>Sits with support</t>
        </is>
      </c>
      <c r="B17" t="b">
        <v>0</v>
      </c>
      <c r="C17" s="16" t="n"/>
    </row>
    <row r="18">
      <c r="A18" s="10" t="inlineStr">
        <is>
          <t>7–9 Months</t>
        </is>
      </c>
    </row>
    <row r="19">
      <c r="A19" t="inlineStr">
        <is>
          <t>Sits without support</t>
        </is>
      </c>
      <c r="B19" t="b">
        <v>0</v>
      </c>
      <c r="C19" s="16" t="n"/>
    </row>
    <row r="20">
      <c r="A20" t="inlineStr">
        <is>
          <t>Crawls or scoots</t>
        </is>
      </c>
      <c r="B20" t="b">
        <v>0</v>
      </c>
      <c r="C20" s="16" t="n"/>
    </row>
    <row r="21">
      <c r="A21" t="inlineStr">
        <is>
          <t>Transfers objects hand to hand</t>
        </is>
      </c>
      <c r="B21" t="b">
        <v>0</v>
      </c>
      <c r="C21" s="16" t="n"/>
    </row>
    <row r="22">
      <c r="A22" t="inlineStr">
        <is>
          <t>Responds to own name</t>
        </is>
      </c>
      <c r="B22" t="b">
        <v>0</v>
      </c>
      <c r="C22" s="16" t="n"/>
    </row>
    <row r="23">
      <c r="A23" t="inlineStr">
        <is>
          <t>Plays peek-a-boo</t>
        </is>
      </c>
      <c r="B23" t="b">
        <v>0</v>
      </c>
      <c r="C23" s="16" t="n"/>
    </row>
    <row r="24">
      <c r="A24" t="inlineStr">
        <is>
          <t>Picks up small objects (pincer grasp)</t>
        </is>
      </c>
      <c r="B24" t="b">
        <v>0</v>
      </c>
      <c r="C24" s="16" t="n"/>
    </row>
    <row r="25">
      <c r="A25" s="22" t="inlineStr">
        <is>
          <t>10–12 Months</t>
        </is>
      </c>
    </row>
    <row r="26">
      <c r="A26" t="inlineStr">
        <is>
          <t>Pulls to stand</t>
        </is>
      </c>
      <c r="B26" t="b">
        <v>0</v>
      </c>
      <c r="C26" s="16" t="n"/>
    </row>
    <row r="27">
      <c r="A27" t="inlineStr">
        <is>
          <t>Cruises along furniture</t>
        </is>
      </c>
      <c r="B27" t="b">
        <v>0</v>
      </c>
      <c r="C27" s="16" t="n"/>
    </row>
    <row r="28">
      <c r="A28" t="inlineStr">
        <is>
          <t>May take first independent steps</t>
        </is>
      </c>
      <c r="B28" t="b">
        <v>0</v>
      </c>
      <c r="C28" s="16" t="n"/>
    </row>
    <row r="29">
      <c r="A29" t="inlineStr">
        <is>
          <t>Says 1–2 words with meaning</t>
        </is>
      </c>
      <c r="B29" t="b">
        <v>0</v>
      </c>
      <c r="C29" s="16" t="n"/>
    </row>
    <row r="30">
      <c r="A30" t="inlineStr">
        <is>
          <t>Waves "bye-bye"</t>
        </is>
      </c>
      <c r="B30" t="b">
        <v>0</v>
      </c>
      <c r="C30" s="16" t="n"/>
    </row>
    <row r="31">
      <c r="A31" t="inlineStr">
        <is>
          <t>Points at objects of interest</t>
        </is>
      </c>
      <c r="B31" t="b">
        <v>0</v>
      </c>
      <c r="C31" s="16" t="n"/>
    </row>
    <row r="32">
      <c r="A32" s="23" t="inlineStr">
        <is>
          <t>13–18 Months</t>
        </is>
      </c>
    </row>
    <row r="33">
      <c r="A33" t="inlineStr">
        <is>
          <t>Walks independently</t>
        </is>
      </c>
      <c r="B33" t="b">
        <v>0</v>
      </c>
      <c r="C33" s="16" t="n"/>
    </row>
    <row r="34">
      <c r="A34" t="inlineStr">
        <is>
          <t>Says several single words</t>
        </is>
      </c>
      <c r="B34" t="b">
        <v>0</v>
      </c>
      <c r="C34" s="16" t="n"/>
    </row>
    <row r="35">
      <c r="A35" t="inlineStr">
        <is>
          <t>Follows simple one-step instructions</t>
        </is>
      </c>
      <c r="B35" t="b">
        <v>0</v>
      </c>
      <c r="C35" s="16" t="n"/>
    </row>
    <row r="36">
      <c r="A36" t="inlineStr">
        <is>
          <t>Stacks 2–3 blocks</t>
        </is>
      </c>
      <c r="B36" t="b">
        <v>0</v>
      </c>
      <c r="C36" s="16" t="n"/>
    </row>
    <row r="37">
      <c r="A37" t="inlineStr">
        <is>
          <t>Drinks from an open cup</t>
        </is>
      </c>
      <c r="B37" t="b">
        <v>0</v>
      </c>
      <c r="C37" s="16" t="n"/>
    </row>
    <row r="38">
      <c r="A38" t="inlineStr">
        <is>
          <t>Points to a body part when asked</t>
        </is>
      </c>
      <c r="B38" t="b">
        <v>0</v>
      </c>
      <c r="C38" s="16" t="n"/>
    </row>
    <row r="39">
      <c r="A39" s="8" t="inlineStr">
        <is>
          <t>19–24 Months</t>
        </is>
      </c>
    </row>
    <row r="40">
      <c r="A40" t="inlineStr">
        <is>
          <t>Runs</t>
        </is>
      </c>
      <c r="B40" t="b">
        <v>0</v>
      </c>
      <c r="C40" s="16" t="n"/>
    </row>
    <row r="41">
      <c r="A41" t="inlineStr">
        <is>
          <t>Kicks a ball</t>
        </is>
      </c>
      <c r="B41" t="b">
        <v>0</v>
      </c>
      <c r="C41" s="16" t="n"/>
    </row>
    <row r="42">
      <c r="A42" t="inlineStr">
        <is>
          <t>Uses 2-word phrases</t>
        </is>
      </c>
      <c r="B42" t="b">
        <v>0</v>
      </c>
      <c r="C42" s="16" t="n"/>
    </row>
    <row r="43">
      <c r="A43" t="inlineStr">
        <is>
          <t>Follows simple 2-step instructions</t>
        </is>
      </c>
      <c r="B43" t="b">
        <v>0</v>
      </c>
      <c r="C43" s="16" t="n"/>
    </row>
    <row r="44">
      <c r="A44" t="inlineStr">
        <is>
          <t>Shows growing independence</t>
        </is>
      </c>
      <c r="B44" t="b">
        <v>0</v>
      </c>
      <c r="C44" s="16" t="n"/>
    </row>
    <row r="45">
      <c r="A45" t="inlineStr">
        <is>
          <t>Begins pretend play</t>
        </is>
      </c>
      <c r="B45" t="b">
        <v>0</v>
      </c>
      <c r="C45" s="16" t="n"/>
    </row>
    <row r="47" ht="34" customHeight="1">
      <c r="A47" s="4" t="inlineStr">
        <is>
          <t>Every baby develops at their own pace. This is a general reference, not a diagnostic tool — talk to your pediatrician with any concerns.</t>
        </is>
      </c>
    </row>
  </sheetData>
  <mergeCells count="9">
    <mergeCell ref="A1:D1"/>
    <mergeCell ref="A18:D18"/>
    <mergeCell ref="A4:D4"/>
    <mergeCell ref="A39:D39"/>
    <mergeCell ref="A25:D25"/>
    <mergeCell ref="A2:D2"/>
    <mergeCell ref="A11:D11"/>
    <mergeCell ref="A47:D47"/>
    <mergeCell ref="A32:D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B8ED"/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0" customWidth="1" min="4" max="4"/>
    <col width="16" customWidth="1" min="5" max="5"/>
    <col width="30" customWidth="1" min="6" max="6"/>
  </cols>
  <sheetData>
    <row r="1" ht="32" customHeight="1">
      <c r="A1" s="1" t="inlineStr">
        <is>
          <t>💉 Vaccination Schedule Tracker</t>
        </is>
      </c>
    </row>
    <row r="2" ht="20" customHeight="1">
      <c r="A2" s="2" t="inlineStr">
        <is>
          <t>General reference — confirm with your pediatrician</t>
        </is>
      </c>
    </row>
    <row r="3">
      <c r="A3" s="7" t="inlineStr">
        <is>
          <t>Vaccine</t>
        </is>
      </c>
      <c r="B3" s="7" t="inlineStr">
        <is>
          <t>Recommended Age</t>
        </is>
      </c>
      <c r="C3" s="7" t="inlineStr">
        <is>
          <t>Dose #</t>
        </is>
      </c>
      <c r="D3" s="7" t="inlineStr">
        <is>
          <t>Given</t>
        </is>
      </c>
      <c r="E3" s="7" t="inlineStr">
        <is>
          <t>Date Given</t>
        </is>
      </c>
      <c r="F3" s="7" t="inlineStr">
        <is>
          <t>Notes</t>
        </is>
      </c>
    </row>
    <row r="4">
      <c r="A4" t="inlineStr">
        <is>
          <t>Hepatitis B</t>
        </is>
      </c>
      <c r="B4" t="inlineStr">
        <is>
          <t>Birth</t>
        </is>
      </c>
      <c r="C4" t="inlineStr">
        <is>
          <t>1</t>
        </is>
      </c>
      <c r="D4" t="b">
        <v>0</v>
      </c>
      <c r="E4" s="16" t="n"/>
    </row>
    <row r="5">
      <c r="A5" t="inlineStr">
        <is>
          <t>Hepatitis B</t>
        </is>
      </c>
      <c r="B5" t="inlineStr">
        <is>
          <t>1–2 Months</t>
        </is>
      </c>
      <c r="C5" t="inlineStr">
        <is>
          <t>2</t>
        </is>
      </c>
      <c r="D5" t="b">
        <v>0</v>
      </c>
      <c r="E5" s="16" t="n"/>
    </row>
    <row r="6">
      <c r="A6" t="inlineStr">
        <is>
          <t>DTaP</t>
        </is>
      </c>
      <c r="B6" t="inlineStr">
        <is>
          <t>2 Months</t>
        </is>
      </c>
      <c r="C6" t="inlineStr">
        <is>
          <t>1</t>
        </is>
      </c>
      <c r="D6" t="b">
        <v>0</v>
      </c>
      <c r="E6" s="16" t="n"/>
    </row>
    <row r="7">
      <c r="A7" t="inlineStr">
        <is>
          <t>IPV (Polio)</t>
        </is>
      </c>
      <c r="B7" t="inlineStr">
        <is>
          <t>2 Months</t>
        </is>
      </c>
      <c r="C7" t="inlineStr">
        <is>
          <t>1</t>
        </is>
      </c>
      <c r="D7" t="b">
        <v>0</v>
      </c>
      <c r="E7" s="16" t="n"/>
    </row>
    <row r="8">
      <c r="A8" t="inlineStr">
        <is>
          <t>Hib</t>
        </is>
      </c>
      <c r="B8" t="inlineStr">
        <is>
          <t>2 Months</t>
        </is>
      </c>
      <c r="C8" t="inlineStr">
        <is>
          <t>1</t>
        </is>
      </c>
      <c r="D8" t="b">
        <v>0</v>
      </c>
      <c r="E8" s="16" t="n"/>
    </row>
    <row r="9">
      <c r="A9" t="inlineStr">
        <is>
          <t>PCV13 (Pneumococcal)</t>
        </is>
      </c>
      <c r="B9" t="inlineStr">
        <is>
          <t>2 Months</t>
        </is>
      </c>
      <c r="C9" t="inlineStr">
        <is>
          <t>1</t>
        </is>
      </c>
      <c r="D9" t="b">
        <v>0</v>
      </c>
      <c r="E9" s="16" t="n"/>
    </row>
    <row r="10">
      <c r="A10" t="inlineStr">
        <is>
          <t>Rotavirus</t>
        </is>
      </c>
      <c r="B10" t="inlineStr">
        <is>
          <t>2 Months</t>
        </is>
      </c>
      <c r="C10" t="inlineStr">
        <is>
          <t>1</t>
        </is>
      </c>
      <c r="D10" t="b">
        <v>0</v>
      </c>
      <c r="E10" s="16" t="n"/>
    </row>
    <row r="11">
      <c r="A11" t="inlineStr">
        <is>
          <t>DTaP</t>
        </is>
      </c>
      <c r="B11" t="inlineStr">
        <is>
          <t>4 Months</t>
        </is>
      </c>
      <c r="C11" t="inlineStr">
        <is>
          <t>2</t>
        </is>
      </c>
      <c r="D11" t="b">
        <v>0</v>
      </c>
      <c r="E11" s="16" t="n"/>
    </row>
    <row r="12">
      <c r="A12" t="inlineStr">
        <is>
          <t>IPV (Polio)</t>
        </is>
      </c>
      <c r="B12" t="inlineStr">
        <is>
          <t>4 Months</t>
        </is>
      </c>
      <c r="C12" t="inlineStr">
        <is>
          <t>2</t>
        </is>
      </c>
      <c r="D12" t="b">
        <v>0</v>
      </c>
      <c r="E12" s="16" t="n"/>
    </row>
    <row r="13">
      <c r="A13" t="inlineStr">
        <is>
          <t>Hib</t>
        </is>
      </c>
      <c r="B13" t="inlineStr">
        <is>
          <t>4 Months</t>
        </is>
      </c>
      <c r="C13" t="inlineStr">
        <is>
          <t>2</t>
        </is>
      </c>
      <c r="D13" t="b">
        <v>0</v>
      </c>
      <c r="E13" s="16" t="n"/>
    </row>
    <row r="14">
      <c r="A14" t="inlineStr">
        <is>
          <t>PCV13 (Pneumococcal)</t>
        </is>
      </c>
      <c r="B14" t="inlineStr">
        <is>
          <t>4 Months</t>
        </is>
      </c>
      <c r="C14" t="inlineStr">
        <is>
          <t>2</t>
        </is>
      </c>
      <c r="D14" t="b">
        <v>0</v>
      </c>
      <c r="E14" s="16" t="n"/>
    </row>
    <row r="15">
      <c r="A15" t="inlineStr">
        <is>
          <t>Rotavirus</t>
        </is>
      </c>
      <c r="B15" t="inlineStr">
        <is>
          <t>4 Months</t>
        </is>
      </c>
      <c r="C15" t="inlineStr">
        <is>
          <t>2</t>
        </is>
      </c>
      <c r="D15" t="b">
        <v>0</v>
      </c>
      <c r="E15" s="16" t="n"/>
    </row>
    <row r="16">
      <c r="A16" t="inlineStr">
        <is>
          <t>DTaP</t>
        </is>
      </c>
      <c r="B16" t="inlineStr">
        <is>
          <t>6 Months</t>
        </is>
      </c>
      <c r="C16" t="inlineStr">
        <is>
          <t>3</t>
        </is>
      </c>
      <c r="D16" t="b">
        <v>0</v>
      </c>
      <c r="E16" s="16" t="n"/>
    </row>
    <row r="17">
      <c r="A17" t="inlineStr">
        <is>
          <t>Hib</t>
        </is>
      </c>
      <c r="B17" t="inlineStr">
        <is>
          <t>6 Months</t>
        </is>
      </c>
      <c r="C17" t="inlineStr">
        <is>
          <t>3</t>
        </is>
      </c>
      <c r="D17" t="b">
        <v>0</v>
      </c>
      <c r="E17" s="16" t="n"/>
    </row>
    <row r="18">
      <c r="A18" t="inlineStr">
        <is>
          <t>PCV13 (Pneumococcal)</t>
        </is>
      </c>
      <c r="B18" t="inlineStr">
        <is>
          <t>6 Months</t>
        </is>
      </c>
      <c r="C18" t="inlineStr">
        <is>
          <t>3</t>
        </is>
      </c>
      <c r="D18" t="b">
        <v>0</v>
      </c>
      <c r="E18" s="16" t="n"/>
    </row>
    <row r="19">
      <c r="A19" t="inlineStr">
        <is>
          <t>Rotavirus</t>
        </is>
      </c>
      <c r="B19" t="inlineStr">
        <is>
          <t>6 Months</t>
        </is>
      </c>
      <c r="C19" t="inlineStr">
        <is>
          <t>3</t>
        </is>
      </c>
      <c r="D19" t="b">
        <v>0</v>
      </c>
      <c r="E19" s="16" t="n"/>
    </row>
    <row r="20">
      <c r="A20" t="inlineStr">
        <is>
          <t>Hepatitis B</t>
        </is>
      </c>
      <c r="B20" t="inlineStr">
        <is>
          <t>6–18 Months</t>
        </is>
      </c>
      <c r="C20" t="inlineStr">
        <is>
          <t>3</t>
        </is>
      </c>
      <c r="D20" t="b">
        <v>0</v>
      </c>
      <c r="E20" s="16" t="n"/>
    </row>
    <row r="21">
      <c r="A21" t="inlineStr">
        <is>
          <t>Influenza</t>
        </is>
      </c>
      <c r="B21" t="inlineStr">
        <is>
          <t>6+ Months</t>
        </is>
      </c>
      <c r="C21" t="inlineStr">
        <is>
          <t>Annual</t>
        </is>
      </c>
      <c r="D21" t="b">
        <v>0</v>
      </c>
      <c r="E21" s="16" t="n"/>
    </row>
    <row r="22">
      <c r="A22" t="inlineStr">
        <is>
          <t>MMR</t>
        </is>
      </c>
      <c r="B22" t="inlineStr">
        <is>
          <t>12–15 Months</t>
        </is>
      </c>
      <c r="C22" t="inlineStr">
        <is>
          <t>1</t>
        </is>
      </c>
      <c r="D22" t="b">
        <v>0</v>
      </c>
      <c r="E22" s="16" t="n"/>
    </row>
    <row r="23">
      <c r="A23" t="inlineStr">
        <is>
          <t>Varicella (Chickenpox)</t>
        </is>
      </c>
      <c r="B23" t="inlineStr">
        <is>
          <t>12–15 Months</t>
        </is>
      </c>
      <c r="C23" t="inlineStr">
        <is>
          <t>1</t>
        </is>
      </c>
      <c r="D23" t="b">
        <v>0</v>
      </c>
      <c r="E23" s="16" t="n"/>
    </row>
    <row r="24">
      <c r="A24" t="inlineStr">
        <is>
          <t>Hepatitis A</t>
        </is>
      </c>
      <c r="B24" t="inlineStr">
        <is>
          <t>12–23 Months</t>
        </is>
      </c>
      <c r="C24" t="inlineStr">
        <is>
          <t>1</t>
        </is>
      </c>
      <c r="D24" t="b">
        <v>0</v>
      </c>
      <c r="E24" s="16" t="n"/>
    </row>
    <row r="25">
      <c r="A25" t="inlineStr">
        <is>
          <t>PCV13 (Pneumococcal)</t>
        </is>
      </c>
      <c r="B25" t="inlineStr">
        <is>
          <t>12–15 Months</t>
        </is>
      </c>
      <c r="C25" t="inlineStr">
        <is>
          <t>Booster</t>
        </is>
      </c>
      <c r="D25" t="b">
        <v>0</v>
      </c>
      <c r="E25" s="16" t="n"/>
    </row>
    <row r="26">
      <c r="A26" t="inlineStr">
        <is>
          <t>Hib</t>
        </is>
      </c>
      <c r="B26" t="inlineStr">
        <is>
          <t>12–15 Months</t>
        </is>
      </c>
      <c r="C26" t="inlineStr">
        <is>
          <t>Booster</t>
        </is>
      </c>
      <c r="D26" t="b">
        <v>0</v>
      </c>
      <c r="E26" s="16" t="n"/>
    </row>
    <row r="27">
      <c r="A27" t="inlineStr">
        <is>
          <t>DTaP</t>
        </is>
      </c>
      <c r="B27" t="inlineStr">
        <is>
          <t>15–18 Months</t>
        </is>
      </c>
      <c r="C27" t="inlineStr">
        <is>
          <t>Booster</t>
        </is>
      </c>
      <c r="D27" t="b">
        <v>0</v>
      </c>
      <c r="E27" s="16" t="n"/>
    </row>
    <row r="28">
      <c r="A28" t="inlineStr">
        <is>
          <t>Hepatitis A</t>
        </is>
      </c>
      <c r="B28" t="inlineStr">
        <is>
          <t>18–23 Months</t>
        </is>
      </c>
      <c r="C28" t="inlineStr">
        <is>
          <t>2</t>
        </is>
      </c>
      <c r="D28" t="b">
        <v>0</v>
      </c>
      <c r="E28" s="16" t="n"/>
    </row>
    <row r="30" ht="34" customHeight="1">
      <c r="A30" s="4" t="inlineStr">
        <is>
          <t>⚠️ Vaccination schedules vary by country and change over time. This is a general reference only — always follow your pediatrician’s or local health authority’s official schedule.</t>
        </is>
      </c>
    </row>
  </sheetData>
  <mergeCells count="3">
    <mergeCell ref="A2:F2"/>
    <mergeCell ref="A1:F1"/>
    <mergeCell ref="A30:F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4AFC9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24" t="inlineStr">
        <is>
          <t>📊 Dashboard</t>
        </is>
      </c>
    </row>
    <row r="2" ht="20" customHeight="1">
      <c r="A2" s="25" t="inlineStr">
        <is>
          <t>A one-page snapshot of your journey</t>
        </is>
      </c>
    </row>
    <row r="22">
      <c r="H22" s="13" t="inlineStr">
        <is>
          <t>Milestones achieved:</t>
        </is>
      </c>
    </row>
    <row r="23">
      <c r="H23" s="26">
        <f>COUNTIF(Milestones!B:B,TRUE)&amp;" of 36 checked"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2026-07-06T23:59:59Z</dcterms:created>
  <dcterms:modified xsi:type="dcterms:W3CDTF">2026-07-06T23:59:59Z</dcterms:modified>
</cp:coreProperties>
</file>